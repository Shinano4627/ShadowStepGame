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ShadowStepGame\Documents\"/>
    </mc:Choice>
  </mc:AlternateContent>
  <xr:revisionPtr revIDLastSave="0" documentId="13_ncr:1_{6B0266BE-D80B-4114-8EFE-0CFF286764E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  <sheet name="リスト" sheetId="2" r:id="rId2"/>
  </sheets>
  <functionGroups builtInGroupCount="19"/>
  <definedNames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" i="1" l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5" i="1"/>
  <c r="A57" i="1"/>
  <c r="A58" i="1"/>
  <c r="A59" i="1"/>
  <c r="A60" i="1"/>
  <c r="A61" i="1"/>
  <c r="A62" i="1"/>
  <c r="A63" i="1"/>
  <c r="A64" i="1"/>
  <c r="A65" i="1"/>
  <c r="A66" i="1"/>
  <c r="A67" i="1"/>
  <c r="BI3" i="1"/>
  <c r="BJ3" i="1"/>
  <c r="BK3" i="1"/>
  <c r="K4" i="1"/>
  <c r="K3" i="1" s="1"/>
  <c r="L4" i="1"/>
  <c r="L3" i="1" s="1"/>
  <c r="M4" i="1"/>
  <c r="M3" i="1" s="1"/>
  <c r="N4" i="1"/>
  <c r="N3" i="1" s="1"/>
  <c r="O4" i="1"/>
  <c r="O3" i="1" s="1"/>
  <c r="P4" i="1"/>
  <c r="P3" i="1" s="1"/>
  <c r="Q4" i="1"/>
  <c r="Q3" i="1" s="1"/>
  <c r="R4" i="1"/>
  <c r="R3" i="1" s="1"/>
  <c r="S4" i="1"/>
  <c r="S3" i="1" s="1"/>
  <c r="T4" i="1"/>
  <c r="T3" i="1" s="1"/>
  <c r="U4" i="1"/>
  <c r="U3" i="1" s="1"/>
  <c r="V4" i="1"/>
  <c r="V3" i="1" s="1"/>
  <c r="W4" i="1"/>
  <c r="W3" i="1" s="1"/>
  <c r="X4" i="1"/>
  <c r="X3" i="1" s="1"/>
  <c r="Y4" i="1"/>
  <c r="Y3" i="1" s="1"/>
  <c r="Z4" i="1"/>
  <c r="Z3" i="1" s="1"/>
  <c r="AA4" i="1"/>
  <c r="AA3" i="1" s="1"/>
  <c r="AB4" i="1"/>
  <c r="AB3" i="1" s="1"/>
  <c r="AC4" i="1"/>
  <c r="AC3" i="1" s="1"/>
  <c r="AD4" i="1"/>
  <c r="AD3" i="1" s="1"/>
  <c r="AE4" i="1"/>
  <c r="AE3" i="1" s="1"/>
  <c r="AF4" i="1"/>
  <c r="AF3" i="1" s="1"/>
  <c r="AG4" i="1"/>
  <c r="AG3" i="1" s="1"/>
  <c r="AH4" i="1"/>
  <c r="AH3" i="1" s="1"/>
  <c r="AI4" i="1"/>
  <c r="AI3" i="1" s="1"/>
  <c r="AJ4" i="1"/>
  <c r="AJ3" i="1" s="1"/>
  <c r="AK4" i="1"/>
  <c r="AK3" i="1" s="1"/>
  <c r="AL4" i="1"/>
  <c r="AL3" i="1" s="1"/>
  <c r="AM4" i="1"/>
  <c r="AM3" i="1" s="1"/>
  <c r="AN4" i="1"/>
  <c r="AN3" i="1" s="1"/>
  <c r="AO4" i="1"/>
  <c r="AO3" i="1" s="1"/>
  <c r="AP4" i="1"/>
  <c r="AP3" i="1" s="1"/>
  <c r="AQ4" i="1"/>
  <c r="AQ3" i="1" s="1"/>
  <c r="AR4" i="1"/>
  <c r="AR3" i="1" s="1"/>
  <c r="AS4" i="1"/>
  <c r="AS3" i="1" s="1"/>
  <c r="AT4" i="1"/>
  <c r="AT3" i="1" s="1"/>
  <c r="AU4" i="1"/>
  <c r="AU3" i="1" s="1"/>
  <c r="AV4" i="1"/>
  <c r="AV3" i="1" s="1"/>
  <c r="AW4" i="1"/>
  <c r="AW3" i="1" s="1"/>
  <c r="AX4" i="1"/>
  <c r="AX3" i="1" s="1"/>
  <c r="AY4" i="1"/>
  <c r="AY3" i="1" s="1"/>
  <c r="AZ4" i="1"/>
  <c r="AZ3" i="1" s="1"/>
  <c r="BA4" i="1"/>
  <c r="BA3" i="1" s="1"/>
  <c r="BB4" i="1"/>
  <c r="BB3" i="1" s="1"/>
  <c r="BC4" i="1"/>
  <c r="BC3" i="1" s="1"/>
  <c r="BD4" i="1"/>
  <c r="BD3" i="1" s="1"/>
  <c r="BE4" i="1"/>
  <c r="BE3" i="1" s="1"/>
  <c r="BF4" i="1"/>
  <c r="BF3" i="1" s="1"/>
  <c r="BG4" i="1"/>
  <c r="BG3" i="1" s="1"/>
  <c r="BH4" i="1"/>
  <c r="BH3" i="1" s="1"/>
  <c r="BI4" i="1"/>
  <c r="BJ4" i="1"/>
  <c r="BK4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A54" i="1" s="1"/>
  <c r="B55" i="1"/>
  <c r="B56" i="1"/>
  <c r="A56" i="1" s="1"/>
  <c r="B57" i="1"/>
  <c r="B58" i="1"/>
  <c r="B59" i="1"/>
  <c r="B60" i="1"/>
  <c r="C2" i="2"/>
  <c r="C3" i="2"/>
  <c r="C5" i="2"/>
  <c r="C6" i="2"/>
  <c r="C7" i="2"/>
  <c r="C8" i="2"/>
  <c r="C9" i="2"/>
  <c r="C10" i="2"/>
  <c r="C11" i="2"/>
  <c r="C12" i="2"/>
  <c r="C13" i="2"/>
  <c r="C14" i="2"/>
  <c r="C15" i="2"/>
  <c r="C16" i="2"/>
  <c r="C4" i="2"/>
  <c r="BO4" i="1"/>
  <c r="B77" i="1"/>
  <c r="D4" i="1"/>
  <c r="E4" i="1"/>
  <c r="F4" i="1"/>
  <c r="G4" i="1"/>
  <c r="H4" i="1"/>
  <c r="I4" i="1"/>
  <c r="J4" i="1"/>
  <c r="BL4" i="1"/>
  <c r="BM4" i="1"/>
  <c r="BN4" i="1"/>
  <c r="C4" i="1"/>
  <c r="B5" i="1"/>
  <c r="B6" i="1"/>
  <c r="B7" i="1"/>
  <c r="B8" i="1"/>
  <c r="B9" i="1"/>
  <c r="B10" i="1"/>
  <c r="B11" i="1"/>
  <c r="B12" i="1"/>
  <c r="B13" i="1"/>
  <c r="D3" i="1" l="1"/>
  <c r="E3" i="1"/>
  <c r="F3" i="1"/>
  <c r="G3" i="1"/>
  <c r="H3" i="1"/>
  <c r="A6" i="1"/>
  <c r="A10" i="1"/>
  <c r="A12" i="1"/>
  <c r="A68" i="1"/>
  <c r="BL3" i="1"/>
  <c r="A5" i="1"/>
  <c r="A11" i="1"/>
  <c r="A13" i="1"/>
  <c r="J3" i="1"/>
  <c r="I3" i="1"/>
  <c r="A7" i="1"/>
  <c r="A74" i="1"/>
  <c r="A76" i="1"/>
  <c r="A75" i="1"/>
  <c r="A72" i="1"/>
  <c r="A73" i="1"/>
  <c r="A71" i="1"/>
  <c r="A70" i="1"/>
  <c r="A69" i="1"/>
  <c r="A9" i="1"/>
  <c r="A8" i="1"/>
  <c r="BN3" i="1"/>
  <c r="BM3" i="1"/>
  <c r="C3" i="1"/>
  <c r="A77" i="1" l="1" a="1"/>
  <c r="A77" i="1" s="1"/>
  <c r="BO3" i="1" a="1"/>
  <c r="BO3" i="1" s="1"/>
  <c r="BP14" i="1" l="1"/>
  <c r="BP19" i="1"/>
  <c r="BP20" i="1"/>
  <c r="BP22" i="1"/>
  <c r="BP27" i="1"/>
  <c r="BP23" i="1"/>
  <c r="BP24" i="1"/>
  <c r="BP25" i="1"/>
  <c r="BP17" i="1"/>
  <c r="BP26" i="1"/>
  <c r="BP34" i="1"/>
  <c r="BP35" i="1"/>
  <c r="BP36" i="1"/>
  <c r="BP37" i="1"/>
  <c r="BP38" i="1"/>
  <c r="BP39" i="1"/>
  <c r="BP40" i="1"/>
  <c r="BP41" i="1"/>
  <c r="BP43" i="1"/>
  <c r="BP44" i="1"/>
  <c r="BP45" i="1"/>
  <c r="BP46" i="1"/>
  <c r="BP47" i="1"/>
  <c r="BP48" i="1"/>
  <c r="BP49" i="1"/>
  <c r="BP50" i="1"/>
  <c r="BP52" i="1"/>
  <c r="BP53" i="1"/>
  <c r="BP54" i="1"/>
  <c r="BP55" i="1"/>
  <c r="BP56" i="1"/>
  <c r="BP57" i="1"/>
  <c r="BP58" i="1"/>
  <c r="BP60" i="1"/>
  <c r="BP61" i="1"/>
  <c r="BP62" i="1"/>
  <c r="BP63" i="1"/>
  <c r="BP64" i="1"/>
  <c r="BP65" i="1"/>
  <c r="BP66" i="1"/>
  <c r="BP68" i="1"/>
  <c r="BP69" i="1"/>
  <c r="BP70" i="1"/>
  <c r="BP71" i="1"/>
  <c r="BP72" i="1"/>
  <c r="BP73" i="1"/>
  <c r="BP74" i="1"/>
  <c r="BP75" i="1"/>
  <c r="BP28" i="1"/>
  <c r="BP29" i="1"/>
  <c r="BP30" i="1"/>
  <c r="BP31" i="1"/>
  <c r="BP32" i="1"/>
  <c r="BP33" i="1"/>
  <c r="BP42" i="1"/>
  <c r="BP51" i="1"/>
  <c r="BP59" i="1"/>
  <c r="BP67" i="1"/>
  <c r="BP76" i="1"/>
  <c r="BP15" i="1"/>
  <c r="BP16" i="1"/>
  <c r="BP18" i="1"/>
  <c r="BP21" i="1"/>
  <c r="BP2" i="1"/>
  <c r="BP5" i="1"/>
  <c r="BP8" i="1"/>
  <c r="BP9" i="1"/>
  <c r="BP10" i="1"/>
  <c r="BP6" i="1"/>
  <c r="BP11" i="1"/>
  <c r="BP12" i="1"/>
  <c r="BP13" i="1"/>
  <c r="BP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<sst xmlns="http://schemas.openxmlformats.org/spreadsheetml/2006/main" count="25" uniqueCount="23">
  <si>
    <t>Empty</t>
    <phoneticPr fontId="1"/>
  </si>
  <si>
    <t>Wall</t>
    <phoneticPr fontId="1"/>
  </si>
  <si>
    <t>Tree</t>
    <phoneticPr fontId="1"/>
  </si>
  <si>
    <t>CSVコード作成</t>
    <rPh sb="6" eb="8">
      <t>サクセイ</t>
    </rPh>
    <phoneticPr fontId="1"/>
  </si>
  <si>
    <t>EOF</t>
    <phoneticPr fontId="1"/>
  </si>
  <si>
    <t>マップ名</t>
    <rPh sb="3" eb="4">
      <t>メイ</t>
    </rPh>
    <phoneticPr fontId="1"/>
  </si>
  <si>
    <t>←マップの横、縦の長さ</t>
    <rPh sb="5" eb="6">
      <t>ヨコ</t>
    </rPh>
    <rPh sb="7" eb="8">
      <t>タテ</t>
    </rPh>
    <rPh sb="9" eb="10">
      <t>ナガ</t>
    </rPh>
    <phoneticPr fontId="1"/>
  </si>
  <si>
    <t>データ</t>
    <phoneticPr fontId="1"/>
  </si>
  <si>
    <t>マップリスト</t>
    <phoneticPr fontId="1"/>
  </si>
  <si>
    <t>メジャー</t>
    <phoneticPr fontId="1"/>
  </si>
  <si>
    <t>マイナー</t>
    <phoneticPr fontId="1"/>
  </si>
  <si>
    <t>管理番号</t>
    <rPh sb="0" eb="2">
      <t>カンリ</t>
    </rPh>
    <rPh sb="2" eb="4">
      <t>バンゴウ</t>
    </rPh>
    <phoneticPr fontId="1"/>
  </si>
  <si>
    <t>PlayerAttack</t>
    <phoneticPr fontId="1"/>
  </si>
  <si>
    <t>PlayerPlace</t>
    <phoneticPr fontId="1"/>
  </si>
  <si>
    <t>Load</t>
    <phoneticPr fontId="1"/>
  </si>
  <si>
    <t>PlayerBig</t>
    <phoneticPr fontId="1"/>
  </si>
  <si>
    <t>Reserve</t>
    <phoneticPr fontId="1"/>
  </si>
  <si>
    <t>EnemyAttack</t>
    <phoneticPr fontId="1"/>
  </si>
  <si>
    <t>EnemyPlace</t>
    <phoneticPr fontId="1"/>
  </si>
  <si>
    <t>EnemyBig</t>
    <phoneticPr fontId="1"/>
  </si>
  <si>
    <t>Torii</t>
    <phoneticPr fontId="1"/>
  </si>
  <si>
    <t>WallBlocken</t>
    <phoneticPr fontId="1"/>
  </si>
  <si>
    <t>Stage1Map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</si>
</sst>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8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2" xfId="0" applyBorder="1"/>
    <xf numFmtId="0" fontId="0" fillId="0" borderId="1" xfId="0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6" xfId="0" applyBorder="1"/>
    <xf numFmtId="0" fontId="3" fillId="0" borderId="0" xfId="0" applyFont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/>
    <xf numFmtId="0" fontId="0" fillId="6" borderId="1" xfId="0" applyFill="1" applyBorder="1" applyAlignment="1">
      <alignment horizontal="right"/>
    </xf>
    <xf numFmtId="0" fontId="0" fillId="0" borderId="1" xfId="0" applyFill="1" applyBorder="1"/>
    <xf numFmtId="0" fontId="0" fillId="7" borderId="1" xfId="0" applyFill="1" applyBorder="1"/>
    <xf numFmtId="0" fontId="0" fillId="6" borderId="0" xfId="0" applyFill="1"/>
    <xf numFmtId="0" fontId="0" fillId="6" borderId="8" xfId="0" applyFill="1" applyBorder="1"/>
    <xf numFmtId="0" fontId="0" fillId="6" borderId="4" xfId="0" applyFill="1" applyBorder="1"/>
  </cellXfs>
  <cellStyles count="1">
    <cellStyle name="標準" xfId="0" builtinId="0"/>
  </cellStyles>
  <dxfs count="22"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99060</xdr:colOff>
          <xdr:row>0</xdr:row>
          <xdr:rowOff>68580</xdr:rowOff>
        </xdr:from>
        <xdr:to>
          <xdr:col>75</xdr:col>
          <xdr:colOff>175260</xdr:colOff>
          <xdr:row>5</xdr:row>
          <xdr:rowOff>15240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R78"/>
  <sheetViews>
    <sheetView tabSelected="1" zoomScale="55" zoomScaleNormal="55" workbookViewId="0">
      <selection activeCell="AK3" sqref="AK3"/>
    </sheetView>
  </sheetViews>
  <sheetFormatPr defaultColWidth="3.69921875" defaultRowHeight="18"/>
  <cols>
    <col min="1" max="1" width="3.59765625" style="18" customWidth="1"/>
    <col min="2" max="2" width="3.69921875" style="18" customWidth="1"/>
    <col min="3" max="3" width="3.69921875" customWidth="1"/>
    <col min="67" max="67" width="3.69921875" style="1"/>
    <col min="68" max="68" width="14.3984375" bestFit="1" customWidth="1"/>
    <col min="69" max="69" width="8.59765625" bestFit="1" customWidth="1"/>
    <col min="70" max="70" width="8.69921875" bestFit="1" customWidth="1"/>
  </cols>
  <sheetData>
    <row r="1" spans="1:70" ht="18.600000000000001" thickBot="1"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6" t="s">
        <v>3</v>
      </c>
      <c r="BQ1" t="s">
        <v>5</v>
      </c>
      <c r="BR1" s="9" t="s">
        <v>22</v>
      </c>
    </row>
    <row r="2" spans="1:70"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7" t="str">
        <f>_xlfn.TEXTJOIN(",",TRUE,$BO$3,$A$77)</f>
        <v>57,56</v>
      </c>
      <c r="BQ2" t="s">
        <v>6</v>
      </c>
    </row>
    <row r="3" spans="1:70" s="18" customFormat="1">
      <c r="C3" s="18">
        <f t="shared" ref="C3:J3" si="0">IF(($BO$4-C4)=0,0,1)</f>
        <v>1</v>
      </c>
      <c r="D3" s="18">
        <f t="shared" si="0"/>
        <v>1</v>
      </c>
      <c r="E3" s="18">
        <f t="shared" si="0"/>
        <v>1</v>
      </c>
      <c r="F3" s="18">
        <f t="shared" si="0"/>
        <v>1</v>
      </c>
      <c r="G3" s="18">
        <f t="shared" si="0"/>
        <v>1</v>
      </c>
      <c r="H3" s="18">
        <f t="shared" si="0"/>
        <v>1</v>
      </c>
      <c r="I3" s="18">
        <f t="shared" si="0"/>
        <v>1</v>
      </c>
      <c r="J3" s="18">
        <f t="shared" si="0"/>
        <v>1</v>
      </c>
      <c r="K3" s="18">
        <f t="shared" ref="K3" si="1">IF(($BO$4-K4)=0,0,1)</f>
        <v>1</v>
      </c>
      <c r="L3" s="18">
        <f t="shared" ref="L3" si="2">IF(($BO$4-L4)=0,0,1)</f>
        <v>1</v>
      </c>
      <c r="M3" s="18">
        <f t="shared" ref="M3" si="3">IF(($BO$4-M4)=0,0,1)</f>
        <v>1</v>
      </c>
      <c r="N3" s="18">
        <f t="shared" ref="N3" si="4">IF(($BO$4-N4)=0,0,1)</f>
        <v>1</v>
      </c>
      <c r="O3" s="18">
        <f t="shared" ref="O3" si="5">IF(($BO$4-O4)=0,0,1)</f>
        <v>1</v>
      </c>
      <c r="P3" s="18">
        <f t="shared" ref="P3" si="6">IF(($BO$4-P4)=0,0,1)</f>
        <v>1</v>
      </c>
      <c r="Q3" s="18">
        <f t="shared" ref="Q3" si="7">IF(($BO$4-Q4)=0,0,1)</f>
        <v>1</v>
      </c>
      <c r="R3" s="18">
        <f t="shared" ref="R3" si="8">IF(($BO$4-R4)=0,0,1)</f>
        <v>1</v>
      </c>
      <c r="S3" s="18">
        <f t="shared" ref="S3" si="9">IF(($BO$4-S4)=0,0,1)</f>
        <v>1</v>
      </c>
      <c r="T3" s="18">
        <f t="shared" ref="T3" si="10">IF(($BO$4-T4)=0,0,1)</f>
        <v>1</v>
      </c>
      <c r="U3" s="18">
        <f t="shared" ref="U3" si="11">IF(($BO$4-U4)=0,0,1)</f>
        <v>1</v>
      </c>
      <c r="V3" s="18">
        <f t="shared" ref="V3" si="12">IF(($BO$4-V4)=0,0,1)</f>
        <v>1</v>
      </c>
      <c r="W3" s="18">
        <f t="shared" ref="W3" si="13">IF(($BO$4-W4)=0,0,1)</f>
        <v>1</v>
      </c>
      <c r="X3" s="18">
        <f t="shared" ref="X3" si="14">IF(($BO$4-X4)=0,0,1)</f>
        <v>1</v>
      </c>
      <c r="Y3" s="18">
        <f t="shared" ref="Y3" si="15">IF(($BO$4-Y4)=0,0,1)</f>
        <v>1</v>
      </c>
      <c r="Z3" s="18">
        <f t="shared" ref="Z3" si="16">IF(($BO$4-Z4)=0,0,1)</f>
        <v>1</v>
      </c>
      <c r="AA3" s="18">
        <f t="shared" ref="AA3" si="17">IF(($BO$4-AA4)=0,0,1)</f>
        <v>1</v>
      </c>
      <c r="AB3" s="18">
        <f t="shared" ref="AB3" si="18">IF(($BO$4-AB4)=0,0,1)</f>
        <v>1</v>
      </c>
      <c r="AC3" s="18">
        <f t="shared" ref="AC3" si="19">IF(($BO$4-AC4)=0,0,1)</f>
        <v>1</v>
      </c>
      <c r="AD3" s="18">
        <f t="shared" ref="AD3" si="20">IF(($BO$4-AD4)=0,0,1)</f>
        <v>1</v>
      </c>
      <c r="AE3" s="18">
        <f t="shared" ref="AE3" si="21">IF(($BO$4-AE4)=0,0,1)</f>
        <v>1</v>
      </c>
      <c r="AF3" s="18">
        <f t="shared" ref="AF3" si="22">IF(($BO$4-AF4)=0,0,1)</f>
        <v>1</v>
      </c>
      <c r="AG3" s="18">
        <f t="shared" ref="AG3" si="23">IF(($BO$4-AG4)=0,0,1)</f>
        <v>1</v>
      </c>
      <c r="AH3" s="18">
        <f t="shared" ref="AH3" si="24">IF(($BO$4-AH4)=0,0,1)</f>
        <v>1</v>
      </c>
      <c r="AI3" s="18">
        <f t="shared" ref="AI3" si="25">IF(($BO$4-AI4)=0,0,1)</f>
        <v>1</v>
      </c>
      <c r="AJ3" s="18">
        <f t="shared" ref="AJ3" si="26">IF(($BO$4-AJ4)=0,0,1)</f>
        <v>1</v>
      </c>
      <c r="AK3" s="18">
        <f t="shared" ref="AK3" si="27">IF(($BO$4-AK4)=0,0,1)</f>
        <v>1</v>
      </c>
      <c r="AL3" s="18">
        <f t="shared" ref="AL3" si="28">IF(($BO$4-AL4)=0,0,1)</f>
        <v>1</v>
      </c>
      <c r="AM3" s="18">
        <f t="shared" ref="AM3" si="29">IF(($BO$4-AM4)=0,0,1)</f>
        <v>1</v>
      </c>
      <c r="AN3" s="18">
        <f t="shared" ref="AN3" si="30">IF(($BO$4-AN4)=0,0,1)</f>
        <v>1</v>
      </c>
      <c r="AO3" s="18">
        <f t="shared" ref="AO3" si="31">IF(($BO$4-AO4)=0,0,1)</f>
        <v>1</v>
      </c>
      <c r="AP3" s="18">
        <f t="shared" ref="AP3" si="32">IF(($BO$4-AP4)=0,0,1)</f>
        <v>1</v>
      </c>
      <c r="AQ3" s="18">
        <f t="shared" ref="AQ3" si="33">IF(($BO$4-AQ4)=0,0,1)</f>
        <v>1</v>
      </c>
      <c r="AR3" s="18">
        <f t="shared" ref="AR3" si="34">IF(($BO$4-AR4)=0,0,1)</f>
        <v>1</v>
      </c>
      <c r="AS3" s="18">
        <f t="shared" ref="AS3" si="35">IF(($BO$4-AS4)=0,0,1)</f>
        <v>1</v>
      </c>
      <c r="AT3" s="18">
        <f t="shared" ref="AT3" si="36">IF(($BO$4-AT4)=0,0,1)</f>
        <v>1</v>
      </c>
      <c r="AU3" s="18">
        <f t="shared" ref="AU3" si="37">IF(($BO$4-AU4)=0,0,1)</f>
        <v>1</v>
      </c>
      <c r="AV3" s="18">
        <f t="shared" ref="AV3" si="38">IF(($BO$4-AV4)=0,0,1)</f>
        <v>1</v>
      </c>
      <c r="AW3" s="18">
        <f t="shared" ref="AW3" si="39">IF(($BO$4-AW4)=0,0,1)</f>
        <v>1</v>
      </c>
      <c r="AX3" s="18">
        <f t="shared" ref="AX3" si="40">IF(($BO$4-AX4)=0,0,1)</f>
        <v>1</v>
      </c>
      <c r="AY3" s="18">
        <f t="shared" ref="AY3" si="41">IF(($BO$4-AY4)=0,0,1)</f>
        <v>1</v>
      </c>
      <c r="AZ3" s="18">
        <f t="shared" ref="AZ3" si="42">IF(($BO$4-AZ4)=0,0,1)</f>
        <v>1</v>
      </c>
      <c r="BA3" s="18">
        <f t="shared" ref="BA3" si="43">IF(($BO$4-BA4)=0,0,1)</f>
        <v>1</v>
      </c>
      <c r="BB3" s="18">
        <f t="shared" ref="BB3" si="44">IF(($BO$4-BB4)=0,0,1)</f>
        <v>1</v>
      </c>
      <c r="BC3" s="18">
        <f t="shared" ref="BC3" si="45">IF(($BO$4-BC4)=0,0,1)</f>
        <v>1</v>
      </c>
      <c r="BD3" s="18">
        <f t="shared" ref="BD3" si="46">IF(($BO$4-BD4)=0,0,1)</f>
        <v>1</v>
      </c>
      <c r="BE3" s="18">
        <f t="shared" ref="BE3" si="47">IF(($BO$4-BE4)=0,0,1)</f>
        <v>1</v>
      </c>
      <c r="BF3" s="18">
        <f t="shared" ref="BF3" si="48">IF(($BO$4-BF4)=0,0,1)</f>
        <v>1</v>
      </c>
      <c r="BG3" s="18">
        <f t="shared" ref="BG3" si="49">IF(($BO$4-BG4)=0,0,1)</f>
        <v>1</v>
      </c>
      <c r="BH3" s="18">
        <f t="shared" ref="BH3" si="50">IF(($BO$4-BH4)=0,0,1)</f>
        <v>0</v>
      </c>
      <c r="BI3" s="18">
        <f t="shared" ref="BI3" si="51">IF(($BO$4-BI4)=0,0,1)</f>
        <v>0</v>
      </c>
      <c r="BJ3" s="18">
        <f t="shared" ref="BJ3" si="52">IF(($BO$4-BJ4)=0,0,1)</f>
        <v>0</v>
      </c>
      <c r="BK3" s="18">
        <f t="shared" ref="BK3" si="53">IF(($BO$4-BK4)=0,0,1)</f>
        <v>0</v>
      </c>
      <c r="BL3" s="18">
        <f>IF(($BO$4-BL4)=0,0,1)</f>
        <v>0</v>
      </c>
      <c r="BM3" s="18">
        <f>IF(($BO$4-BM4)=0,0,1)</f>
        <v>0</v>
      </c>
      <c r="BN3" s="18">
        <f>IF(($BO$4-BN4)=0,0,1)</f>
        <v>0</v>
      </c>
      <c r="BO3" s="18" cm="1">
        <f t="array" ref="BO3">LOOKUP(1, 1/(C3:BN3=1), COLUMN(C3:BN3)-COLUMN(C3)+1)</f>
        <v>57</v>
      </c>
      <c r="BP3" s="19"/>
    </row>
    <row r="4" spans="1:70" s="18" customFormat="1">
      <c r="C4" s="18">
        <f>COUNTBLANK(C5:C76)</f>
        <v>16</v>
      </c>
      <c r="D4" s="18">
        <f t="shared" ref="D4:BO4" si="54">COUNTBLANK(D5:D76)</f>
        <v>16</v>
      </c>
      <c r="E4" s="18">
        <f t="shared" si="54"/>
        <v>16</v>
      </c>
      <c r="F4" s="18">
        <f t="shared" si="54"/>
        <v>16</v>
      </c>
      <c r="G4" s="18">
        <f t="shared" si="54"/>
        <v>16</v>
      </c>
      <c r="H4" s="18">
        <f t="shared" si="54"/>
        <v>16</v>
      </c>
      <c r="I4" s="18">
        <f t="shared" si="54"/>
        <v>16</v>
      </c>
      <c r="J4" s="18">
        <f t="shared" si="54"/>
        <v>16</v>
      </c>
      <c r="K4" s="18">
        <f t="shared" ref="K4:BK4" si="55">COUNTBLANK(K5:K76)</f>
        <v>16</v>
      </c>
      <c r="L4" s="18">
        <f t="shared" si="55"/>
        <v>16</v>
      </c>
      <c r="M4" s="18">
        <f t="shared" si="55"/>
        <v>16</v>
      </c>
      <c r="N4" s="18">
        <f t="shared" si="55"/>
        <v>16</v>
      </c>
      <c r="O4" s="18">
        <f t="shared" si="55"/>
        <v>16</v>
      </c>
      <c r="P4" s="18">
        <f t="shared" si="55"/>
        <v>16</v>
      </c>
      <c r="Q4" s="18">
        <f t="shared" si="55"/>
        <v>16</v>
      </c>
      <c r="R4" s="18">
        <f t="shared" si="55"/>
        <v>16</v>
      </c>
      <c r="S4" s="18">
        <f t="shared" si="55"/>
        <v>16</v>
      </c>
      <c r="T4" s="18">
        <f t="shared" si="55"/>
        <v>16</v>
      </c>
      <c r="U4" s="18">
        <f t="shared" si="55"/>
        <v>16</v>
      </c>
      <c r="V4" s="18">
        <f t="shared" si="55"/>
        <v>16</v>
      </c>
      <c r="W4" s="18">
        <f t="shared" si="55"/>
        <v>16</v>
      </c>
      <c r="X4" s="18">
        <f t="shared" si="55"/>
        <v>16</v>
      </c>
      <c r="Y4" s="18">
        <f t="shared" si="55"/>
        <v>16</v>
      </c>
      <c r="Z4" s="18">
        <f t="shared" si="55"/>
        <v>16</v>
      </c>
      <c r="AA4" s="18">
        <f t="shared" si="55"/>
        <v>16</v>
      </c>
      <c r="AB4" s="18">
        <f t="shared" si="55"/>
        <v>16</v>
      </c>
      <c r="AC4" s="18">
        <f t="shared" si="55"/>
        <v>16</v>
      </c>
      <c r="AD4" s="18">
        <f t="shared" si="55"/>
        <v>16</v>
      </c>
      <c r="AE4" s="18">
        <f t="shared" si="55"/>
        <v>16</v>
      </c>
      <c r="AF4" s="18">
        <f t="shared" si="55"/>
        <v>16</v>
      </c>
      <c r="AG4" s="18">
        <f t="shared" si="55"/>
        <v>16</v>
      </c>
      <c r="AH4" s="18">
        <f t="shared" si="55"/>
        <v>16</v>
      </c>
      <c r="AI4" s="18">
        <f t="shared" si="55"/>
        <v>16</v>
      </c>
      <c r="AJ4" s="18">
        <f t="shared" si="55"/>
        <v>16</v>
      </c>
      <c r="AK4" s="18">
        <f t="shared" si="55"/>
        <v>16</v>
      </c>
      <c r="AL4" s="18">
        <f t="shared" si="55"/>
        <v>16</v>
      </c>
      <c r="AM4" s="18">
        <f t="shared" si="55"/>
        <v>16</v>
      </c>
      <c r="AN4" s="18">
        <f t="shared" si="55"/>
        <v>16</v>
      </c>
      <c r="AO4" s="18">
        <f t="shared" si="55"/>
        <v>16</v>
      </c>
      <c r="AP4" s="18">
        <f t="shared" si="55"/>
        <v>16</v>
      </c>
      <c r="AQ4" s="18">
        <f t="shared" si="55"/>
        <v>16</v>
      </c>
      <c r="AR4" s="18">
        <f t="shared" si="55"/>
        <v>16</v>
      </c>
      <c r="AS4" s="18">
        <f t="shared" si="55"/>
        <v>16</v>
      </c>
      <c r="AT4" s="18">
        <f t="shared" si="55"/>
        <v>16</v>
      </c>
      <c r="AU4" s="18">
        <f t="shared" si="55"/>
        <v>16</v>
      </c>
      <c r="AV4" s="18">
        <f t="shared" si="55"/>
        <v>16</v>
      </c>
      <c r="AW4" s="18">
        <f t="shared" si="55"/>
        <v>16</v>
      </c>
      <c r="AX4" s="18">
        <f t="shared" si="55"/>
        <v>16</v>
      </c>
      <c r="AY4" s="18">
        <f t="shared" si="55"/>
        <v>16</v>
      </c>
      <c r="AZ4" s="18">
        <f t="shared" si="55"/>
        <v>16</v>
      </c>
      <c r="BA4" s="18">
        <f t="shared" si="55"/>
        <v>16</v>
      </c>
      <c r="BB4" s="18">
        <f t="shared" si="55"/>
        <v>16</v>
      </c>
      <c r="BC4" s="18">
        <f t="shared" si="55"/>
        <v>16</v>
      </c>
      <c r="BD4" s="18">
        <f t="shared" si="55"/>
        <v>16</v>
      </c>
      <c r="BE4" s="18">
        <f t="shared" si="55"/>
        <v>16</v>
      </c>
      <c r="BF4" s="18">
        <f t="shared" si="55"/>
        <v>16</v>
      </c>
      <c r="BG4" s="18">
        <f t="shared" si="55"/>
        <v>16</v>
      </c>
      <c r="BH4" s="18">
        <f t="shared" si="55"/>
        <v>72</v>
      </c>
      <c r="BI4" s="18">
        <f t="shared" si="55"/>
        <v>72</v>
      </c>
      <c r="BJ4" s="18">
        <f t="shared" si="55"/>
        <v>72</v>
      </c>
      <c r="BK4" s="18">
        <f t="shared" si="55"/>
        <v>72</v>
      </c>
      <c r="BL4" s="18">
        <f t="shared" si="54"/>
        <v>72</v>
      </c>
      <c r="BM4" s="18">
        <f t="shared" si="54"/>
        <v>72</v>
      </c>
      <c r="BN4" s="18">
        <f t="shared" si="54"/>
        <v>72</v>
      </c>
      <c r="BO4" s="18">
        <f t="shared" si="54"/>
        <v>72</v>
      </c>
      <c r="BP4" s="19"/>
    </row>
    <row r="5" spans="1:70">
      <c r="A5" s="18">
        <f>IF(($B$77-B5)=0,0,1)</f>
        <v>1</v>
      </c>
      <c r="B5" s="18">
        <f>COUNTBLANK(C5:BN5)</f>
        <v>7</v>
      </c>
      <c r="C5" s="2">
        <v>10</v>
      </c>
      <c r="D5" s="2">
        <v>10</v>
      </c>
      <c r="E5" s="2">
        <v>10</v>
      </c>
      <c r="F5" s="2">
        <v>10</v>
      </c>
      <c r="G5" s="2">
        <v>10</v>
      </c>
      <c r="H5" s="2">
        <v>10</v>
      </c>
      <c r="I5" s="2">
        <v>10</v>
      </c>
      <c r="J5" s="2">
        <v>10</v>
      </c>
      <c r="K5" s="2">
        <v>10</v>
      </c>
      <c r="L5" s="2">
        <v>10</v>
      </c>
      <c r="M5" s="2">
        <v>10</v>
      </c>
      <c r="N5" s="2">
        <v>10</v>
      </c>
      <c r="O5" s="2">
        <v>10</v>
      </c>
      <c r="P5" s="2">
        <v>10</v>
      </c>
      <c r="Q5" s="2">
        <v>10</v>
      </c>
      <c r="R5" s="2">
        <v>10</v>
      </c>
      <c r="S5" s="2">
        <v>10</v>
      </c>
      <c r="T5" s="2">
        <v>10</v>
      </c>
      <c r="U5" s="2">
        <v>10</v>
      </c>
      <c r="V5" s="2">
        <v>10</v>
      </c>
      <c r="W5" s="2">
        <v>10</v>
      </c>
      <c r="X5" s="2">
        <v>10</v>
      </c>
      <c r="Y5" s="2">
        <v>10</v>
      </c>
      <c r="Z5" s="2">
        <v>10</v>
      </c>
      <c r="AA5" s="2">
        <v>10</v>
      </c>
      <c r="AB5" s="2">
        <v>10</v>
      </c>
      <c r="AC5" s="2">
        <v>10</v>
      </c>
      <c r="AD5" s="2">
        <v>10</v>
      </c>
      <c r="AE5" s="2">
        <v>10</v>
      </c>
      <c r="AF5" s="2">
        <v>10</v>
      </c>
      <c r="AG5" s="2">
        <v>10</v>
      </c>
      <c r="AH5" s="2">
        <v>10</v>
      </c>
      <c r="AI5" s="2">
        <v>10</v>
      </c>
      <c r="AJ5" s="2">
        <v>10</v>
      </c>
      <c r="AK5" s="2">
        <v>10</v>
      </c>
      <c r="AL5" s="2">
        <v>10</v>
      </c>
      <c r="AM5" s="2">
        <v>10</v>
      </c>
      <c r="AN5" s="2">
        <v>10</v>
      </c>
      <c r="AO5" s="2">
        <v>10</v>
      </c>
      <c r="AP5" s="2">
        <v>10</v>
      </c>
      <c r="AQ5" s="2">
        <v>10</v>
      </c>
      <c r="AR5" s="2">
        <v>10</v>
      </c>
      <c r="AS5" s="2">
        <v>10</v>
      </c>
      <c r="AT5" s="2">
        <v>10</v>
      </c>
      <c r="AU5" s="2">
        <v>10</v>
      </c>
      <c r="AV5" s="2">
        <v>10</v>
      </c>
      <c r="AW5" s="2">
        <v>10</v>
      </c>
      <c r="AX5" s="2">
        <v>10</v>
      </c>
      <c r="AY5" s="2">
        <v>10</v>
      </c>
      <c r="AZ5" s="2">
        <v>10</v>
      </c>
      <c r="BA5" s="2">
        <v>10</v>
      </c>
      <c r="BB5" s="2">
        <v>10</v>
      </c>
      <c r="BC5" s="2">
        <v>10</v>
      </c>
      <c r="BD5" s="2">
        <v>10</v>
      </c>
      <c r="BE5" s="2">
        <v>10</v>
      </c>
      <c r="BF5" s="2">
        <v>10</v>
      </c>
      <c r="BG5" s="2">
        <v>10</v>
      </c>
      <c r="BH5" s="2"/>
      <c r="BI5" s="2"/>
      <c r="BJ5" s="2"/>
      <c r="BK5" s="2"/>
      <c r="BL5" s="2"/>
      <c r="BM5" s="2"/>
      <c r="BN5" s="2"/>
      <c r="BO5"/>
      <c r="BP5" s="7" t="str">
        <f>IF(ROW(BP5)&lt;=(VALUE($A$77)+4),_xlfn.TEXTJOIN(",", FALSE, C5:INDEX(5:5, $BO$3+2))&amp;",","")</f>
        <v>10,10,10,10,10,10,10,10,10,10,10,10,10,10,10,10,10,10,10,10,10,10,10,10,10,10,10,10,10,10,10,10,10,10,10,10,10,10,10,10,10,10,10,10,10,10,10,10,10,10,10,10,10,10,10,10,10,</v>
      </c>
      <c r="BQ5" t="s">
        <v>7</v>
      </c>
    </row>
    <row r="6" spans="1:70">
      <c r="A6" s="18">
        <f t="shared" ref="A6:A76" si="56">IF(($B$77-B6)=0,0,1)</f>
        <v>1</v>
      </c>
      <c r="B6" s="18">
        <f t="shared" ref="B6:B76" si="57">COUNTBLANK(C6:BN6)</f>
        <v>7</v>
      </c>
      <c r="C6" s="2">
        <v>10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11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2">
        <v>0</v>
      </c>
      <c r="AX6" s="2">
        <v>0</v>
      </c>
      <c r="AY6" s="2">
        <v>0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10</v>
      </c>
      <c r="BH6" s="2"/>
      <c r="BI6" s="2"/>
      <c r="BJ6" s="2"/>
      <c r="BK6" s="2"/>
      <c r="BL6" s="2"/>
      <c r="BM6" s="2"/>
      <c r="BN6" s="2"/>
      <c r="BO6"/>
      <c r="BP6" s="7" t="str">
        <f>IF(ROW(BP6)&lt;=(VALUE($A$77)+4),_xlfn.TEXTJOIN(",", FALSE, C6:INDEX(6:6, $BO$3+2))&amp;",","")</f>
        <v>10,0,0,0,0,0,0,0,0,0,0,0,0,11,0,0,0,0,0,0,0,0,0,0,0,0,0,0,0,0,0,0,0,0,0,0,0,0,0,0,0,0,0,0,0,0,0,0,0,0,0,0,0,0,0,0,10,</v>
      </c>
    </row>
    <row r="7" spans="1:70">
      <c r="A7" s="18">
        <f t="shared" si="56"/>
        <v>1</v>
      </c>
      <c r="B7" s="18">
        <f t="shared" si="57"/>
        <v>7</v>
      </c>
      <c r="C7" s="2">
        <v>10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11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11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10</v>
      </c>
      <c r="BH7" s="2"/>
      <c r="BI7" s="2"/>
      <c r="BJ7" s="2"/>
      <c r="BK7" s="2"/>
      <c r="BL7" s="2"/>
      <c r="BM7" s="2"/>
      <c r="BN7" s="2"/>
      <c r="BO7"/>
      <c r="BP7" s="7" t="str">
        <f>IF(ROW(BP7)&lt;=(VALUE($A$77)+4),_xlfn.TEXTJOIN(",", FALSE, C7:INDEX(7:7, $BO$3+2))&amp;",","")</f>
        <v>10,0,0,0,0,0,0,0,11,0,0,0,0,0,0,0,0,0,0,0,0,0,0,11,0,0,0,0,0,0,0,0,0,0,0,0,0,0,0,0,0,0,0,0,0,0,0,0,0,0,0,0,0,0,0,0,10,</v>
      </c>
    </row>
    <row r="8" spans="1:70">
      <c r="A8" s="18">
        <f t="shared" si="56"/>
        <v>1</v>
      </c>
      <c r="B8" s="18">
        <f t="shared" si="57"/>
        <v>7</v>
      </c>
      <c r="C8" s="2">
        <v>10</v>
      </c>
      <c r="D8" s="2">
        <v>0</v>
      </c>
      <c r="E8" s="2">
        <v>11</v>
      </c>
      <c r="F8" s="2">
        <v>0</v>
      </c>
      <c r="G8" s="2">
        <v>0</v>
      </c>
      <c r="H8" s="2">
        <v>11</v>
      </c>
      <c r="I8" s="2">
        <v>0</v>
      </c>
      <c r="J8" s="2">
        <v>0</v>
      </c>
      <c r="K8" s="2">
        <v>0</v>
      </c>
      <c r="L8" s="2">
        <v>0</v>
      </c>
      <c r="M8" s="2">
        <v>11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11</v>
      </c>
      <c r="T8" s="2">
        <v>0</v>
      </c>
      <c r="U8" s="2">
        <v>0</v>
      </c>
      <c r="V8" s="2">
        <v>0</v>
      </c>
      <c r="W8" s="2">
        <v>11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10</v>
      </c>
      <c r="BH8" s="2"/>
      <c r="BI8" s="2"/>
      <c r="BJ8" s="2"/>
      <c r="BK8" s="2"/>
      <c r="BL8" s="2"/>
      <c r="BM8" s="2"/>
      <c r="BN8" s="2"/>
      <c r="BO8"/>
      <c r="BP8" s="7" t="str">
        <f>IF(ROW(BP8)&lt;=(VALUE($A$77)+4),_xlfn.TEXTJOIN(",", FALSE, C8:INDEX(8:8, $BO$3+2))&amp;",","")</f>
        <v>10,0,11,0,0,11,0,0,0,0,11,0,0,0,0,0,11,0,0,0,11,0,0,0,0,0,0,0,0,0,0,0,0,0,0,0,0,0,0,0,0,0,0,0,0,0,0,0,0,0,0,0,0,0,0,0,10,</v>
      </c>
      <c r="BR8" s="10"/>
    </row>
    <row r="9" spans="1:70">
      <c r="A9" s="18">
        <f t="shared" si="56"/>
        <v>1</v>
      </c>
      <c r="B9" s="18">
        <f t="shared" si="57"/>
        <v>7</v>
      </c>
      <c r="C9" s="2">
        <v>10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11</v>
      </c>
      <c r="K9" s="2">
        <v>0</v>
      </c>
      <c r="L9" s="2">
        <v>0</v>
      </c>
      <c r="M9" s="2">
        <v>0</v>
      </c>
      <c r="N9" s="2">
        <v>0</v>
      </c>
      <c r="O9" s="2">
        <v>11</v>
      </c>
      <c r="P9" s="2">
        <v>0</v>
      </c>
      <c r="Q9" s="2">
        <v>11</v>
      </c>
      <c r="R9" s="2">
        <v>0</v>
      </c>
      <c r="S9" s="2">
        <v>0</v>
      </c>
      <c r="T9" s="2">
        <v>0</v>
      </c>
      <c r="U9" s="2">
        <v>11</v>
      </c>
      <c r="V9" s="2">
        <v>0</v>
      </c>
      <c r="W9" s="2">
        <v>0</v>
      </c>
      <c r="X9" s="2">
        <v>0</v>
      </c>
      <c r="Y9" s="2">
        <v>11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10</v>
      </c>
      <c r="BH9" s="2"/>
      <c r="BI9" s="2"/>
      <c r="BJ9" s="2"/>
      <c r="BK9" s="2"/>
      <c r="BL9" s="2"/>
      <c r="BM9" s="2"/>
      <c r="BN9" s="2"/>
      <c r="BO9"/>
      <c r="BP9" s="7" t="str">
        <f>IF(ROW(BP9)&lt;=(VALUE($A$77)+4),_xlfn.TEXTJOIN(",", FALSE, C9:INDEX(9:9, $BO$3+2))&amp;",","")</f>
        <v>10,0,0,0,0,0,0,11,0,0,0,0,11,0,11,0,0,0,11,0,0,0,11,0,0,0,0,0,0,0,0,0,0,0,0,0,0,0,0,0,0,0,0,0,0,0,0,0,0,0,0,0,0,0,0,0,10,</v>
      </c>
    </row>
    <row r="10" spans="1:70">
      <c r="A10" s="18">
        <f t="shared" si="56"/>
        <v>1</v>
      </c>
      <c r="B10" s="18">
        <f t="shared" si="57"/>
        <v>7</v>
      </c>
      <c r="C10" s="2">
        <v>10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11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11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2">
        <v>0</v>
      </c>
      <c r="AP10" s="2">
        <v>0</v>
      </c>
      <c r="AQ10" s="2">
        <v>0</v>
      </c>
      <c r="AR10" s="2">
        <v>0</v>
      </c>
      <c r="AS10" s="2">
        <v>0</v>
      </c>
      <c r="AT10" s="2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0</v>
      </c>
      <c r="BG10" s="2">
        <v>10</v>
      </c>
      <c r="BH10" s="2"/>
      <c r="BI10" s="2"/>
      <c r="BJ10" s="2"/>
      <c r="BK10" s="2"/>
      <c r="BL10" s="2"/>
      <c r="BM10" s="2"/>
      <c r="BN10" s="2"/>
      <c r="BO10"/>
      <c r="BP10" s="7" t="str">
        <f>IF(ROW(BP10)&lt;=(VALUE($A$77)+4),_xlfn.TEXTJOIN(",", FALSE, C10:INDEX(10:10, $BO$3+2))&amp;",","")</f>
        <v>10,0,0,0,0,0,0,0,0,11,0,0,0,0,0,0,0,0,0,0,11,0,0,0,0,0,0,0,0,0,0,0,0,0,0,0,0,0,0,0,0,0,0,0,0,0,0,0,0,0,0,0,0,0,0,0,10,</v>
      </c>
    </row>
    <row r="11" spans="1:70">
      <c r="A11" s="18">
        <f t="shared" si="56"/>
        <v>1</v>
      </c>
      <c r="B11" s="18">
        <f t="shared" si="57"/>
        <v>7</v>
      </c>
      <c r="C11" s="2">
        <v>10</v>
      </c>
      <c r="D11" s="2">
        <v>0</v>
      </c>
      <c r="E11" s="2">
        <v>11</v>
      </c>
      <c r="F11" s="2">
        <v>11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11</v>
      </c>
      <c r="O11" s="2">
        <v>0</v>
      </c>
      <c r="P11" s="2">
        <v>11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10</v>
      </c>
      <c r="AE11" s="2">
        <v>10</v>
      </c>
      <c r="AF11" s="2">
        <v>10</v>
      </c>
      <c r="AG11" s="2">
        <v>10</v>
      </c>
      <c r="AH11" s="2">
        <v>10</v>
      </c>
      <c r="AI11" s="2">
        <v>10</v>
      </c>
      <c r="AJ11" s="2">
        <v>10</v>
      </c>
      <c r="AK11" s="2">
        <v>10</v>
      </c>
      <c r="AL11" s="2">
        <v>10</v>
      </c>
      <c r="AM11" s="2">
        <v>10</v>
      </c>
      <c r="AN11" s="2">
        <v>10</v>
      </c>
      <c r="AO11" s="2">
        <v>10</v>
      </c>
      <c r="AP11" s="2">
        <v>10</v>
      </c>
      <c r="AQ11" s="2">
        <v>10</v>
      </c>
      <c r="AR11" s="2">
        <v>10</v>
      </c>
      <c r="AS11" s="2">
        <v>10</v>
      </c>
      <c r="AT11" s="2">
        <v>10</v>
      </c>
      <c r="AU11" s="2">
        <v>10</v>
      </c>
      <c r="AV11" s="2">
        <v>10</v>
      </c>
      <c r="AW11" s="2">
        <v>10</v>
      </c>
      <c r="AX11" s="2">
        <v>10</v>
      </c>
      <c r="AY11" s="2">
        <v>10</v>
      </c>
      <c r="AZ11" s="2">
        <v>10</v>
      </c>
      <c r="BA11" s="2">
        <v>10</v>
      </c>
      <c r="BB11" s="2">
        <v>10</v>
      </c>
      <c r="BC11" s="2">
        <v>0</v>
      </c>
      <c r="BD11" s="2">
        <v>0</v>
      </c>
      <c r="BE11" s="2">
        <v>0</v>
      </c>
      <c r="BF11" s="2">
        <v>0</v>
      </c>
      <c r="BG11" s="2">
        <v>10</v>
      </c>
      <c r="BH11" s="2"/>
      <c r="BI11" s="2"/>
      <c r="BJ11" s="2"/>
      <c r="BK11" s="2"/>
      <c r="BL11" s="2"/>
      <c r="BM11" s="2"/>
      <c r="BN11" s="2"/>
      <c r="BO11"/>
      <c r="BP11" s="7" t="str">
        <f>IF(ROW(BP11)&lt;=(VALUE($A$77)+4),_xlfn.TEXTJOIN(",", FALSE, C11:INDEX(11:11, $BO$3+2))&amp;",","")</f>
        <v>10,0,11,11,0,0,0,0,0,0,0,11,0,11,0,0,0,0,0,0,0,0,0,0,0,0,0,10,10,10,10,10,10,10,10,10,10,10,10,10,10,10,10,10,10,10,10,10,10,10,10,10,0,0,0,0,10,</v>
      </c>
    </row>
    <row r="12" spans="1:70">
      <c r="A12" s="18">
        <f t="shared" si="56"/>
        <v>1</v>
      </c>
      <c r="B12" s="18">
        <f t="shared" si="57"/>
        <v>7</v>
      </c>
      <c r="C12" s="2">
        <v>10</v>
      </c>
      <c r="D12" s="2">
        <v>0</v>
      </c>
      <c r="E12" s="2">
        <v>0</v>
      </c>
      <c r="F12" s="2">
        <v>0</v>
      </c>
      <c r="G12" s="2">
        <v>0</v>
      </c>
      <c r="H12" s="2">
        <v>11</v>
      </c>
      <c r="I12" s="2">
        <v>0</v>
      </c>
      <c r="J12" s="2">
        <v>0</v>
      </c>
      <c r="K12" s="2">
        <v>11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11</v>
      </c>
      <c r="R12" s="2">
        <v>0</v>
      </c>
      <c r="S12" s="2">
        <v>0</v>
      </c>
      <c r="T12" s="2">
        <v>0</v>
      </c>
      <c r="U12" s="2">
        <v>11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10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2">
        <v>0</v>
      </c>
      <c r="AP12" s="2">
        <v>0</v>
      </c>
      <c r="AQ12" s="2">
        <v>0</v>
      </c>
      <c r="AR12" s="2">
        <v>0</v>
      </c>
      <c r="AS12" s="2">
        <v>0</v>
      </c>
      <c r="AT12" s="2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10</v>
      </c>
      <c r="BC12" s="2">
        <v>0</v>
      </c>
      <c r="BD12" s="2">
        <v>0</v>
      </c>
      <c r="BE12" s="2">
        <v>0</v>
      </c>
      <c r="BF12" s="2">
        <v>0</v>
      </c>
      <c r="BG12" s="2">
        <v>10</v>
      </c>
      <c r="BH12" s="2"/>
      <c r="BI12" s="2"/>
      <c r="BJ12" s="2"/>
      <c r="BK12" s="2"/>
      <c r="BL12" s="2"/>
      <c r="BM12" s="2"/>
      <c r="BN12" s="2"/>
      <c r="BO12"/>
      <c r="BP12" s="7" t="str">
        <f>IF(ROW(BP12)&lt;=(VALUE($A$77)+4),_xlfn.TEXTJOIN(",", FALSE, C12:INDEX(12:12, $BO$3+2))&amp;",","")</f>
        <v>10,0,0,0,0,11,0,0,11,0,0,0,0,0,11,0,0,0,11,0,0,0,0,0,0,0,0,10,0,0,0,0,0,0,0,0,0,0,0,0,0,0,0,0,0,0,0,0,0,0,0,10,0,0,0,0,10,</v>
      </c>
    </row>
    <row r="13" spans="1:70">
      <c r="A13" s="18">
        <f t="shared" si="56"/>
        <v>1</v>
      </c>
      <c r="B13" s="18">
        <f t="shared" si="57"/>
        <v>7</v>
      </c>
      <c r="C13" s="2">
        <v>10</v>
      </c>
      <c r="D13" s="2">
        <v>0</v>
      </c>
      <c r="E13" s="2">
        <v>11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11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11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10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10</v>
      </c>
      <c r="AK13" s="2">
        <v>10</v>
      </c>
      <c r="AL13" s="2">
        <v>10</v>
      </c>
      <c r="AM13" s="2">
        <v>10</v>
      </c>
      <c r="AN13" s="2">
        <v>10</v>
      </c>
      <c r="AO13" s="2">
        <v>10</v>
      </c>
      <c r="AP13" s="2">
        <v>10</v>
      </c>
      <c r="AQ13" s="2">
        <v>10</v>
      </c>
      <c r="AR13" s="2">
        <v>10</v>
      </c>
      <c r="AS13" s="2">
        <v>10</v>
      </c>
      <c r="AT13" s="2">
        <v>10</v>
      </c>
      <c r="AU13" s="2">
        <v>10</v>
      </c>
      <c r="AV13" s="2">
        <v>10</v>
      </c>
      <c r="AW13" s="2">
        <v>0</v>
      </c>
      <c r="AX13" s="2">
        <v>0</v>
      </c>
      <c r="AY13" s="2">
        <v>0</v>
      </c>
      <c r="AZ13" s="2">
        <v>0</v>
      </c>
      <c r="BA13" s="2">
        <v>0</v>
      </c>
      <c r="BB13" s="2">
        <v>10</v>
      </c>
      <c r="BC13" s="2">
        <v>0</v>
      </c>
      <c r="BD13" s="2">
        <v>0</v>
      </c>
      <c r="BE13" s="2">
        <v>0</v>
      </c>
      <c r="BF13" s="2">
        <v>0</v>
      </c>
      <c r="BG13" s="2">
        <v>10</v>
      </c>
      <c r="BH13" s="2"/>
      <c r="BI13" s="2"/>
      <c r="BJ13" s="2"/>
      <c r="BK13" s="2"/>
      <c r="BL13" s="2"/>
      <c r="BM13" s="2"/>
      <c r="BN13" s="2"/>
      <c r="BO13"/>
      <c r="BP13" s="7" t="str">
        <f>IF(ROW(BP13)&lt;=(VALUE($A$77)+4),_xlfn.TEXTJOIN(",", FALSE, C13:INDEX(13:13, $BO$3+2))&amp;",","")</f>
        <v>10,0,11,0,0,0,0,0,0,0,0,11,0,0,0,0,0,0,0,0,11,0,0,0,0,0,0,10,0,0,0,0,0,10,10,10,10,10,10,10,10,10,10,10,10,10,0,0,0,0,0,10,0,0,0,0,10,</v>
      </c>
    </row>
    <row r="14" spans="1:70">
      <c r="A14" s="18">
        <f t="shared" si="56"/>
        <v>1</v>
      </c>
      <c r="B14" s="18">
        <f t="shared" si="57"/>
        <v>7</v>
      </c>
      <c r="C14" s="2">
        <v>10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11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10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10</v>
      </c>
      <c r="AK14" s="2">
        <v>10</v>
      </c>
      <c r="AL14" s="2">
        <v>10</v>
      </c>
      <c r="AM14" s="2">
        <v>10</v>
      </c>
      <c r="AN14" s="2">
        <v>10</v>
      </c>
      <c r="AO14" s="2">
        <v>10</v>
      </c>
      <c r="AP14" s="2">
        <v>10</v>
      </c>
      <c r="AQ14" s="2">
        <v>10</v>
      </c>
      <c r="AR14" s="2">
        <v>10</v>
      </c>
      <c r="AS14" s="2">
        <v>10</v>
      </c>
      <c r="AT14" s="2">
        <v>10</v>
      </c>
      <c r="AU14" s="2">
        <v>10</v>
      </c>
      <c r="AV14" s="2">
        <v>10</v>
      </c>
      <c r="AW14" s="2">
        <v>0</v>
      </c>
      <c r="AX14" s="2">
        <v>0</v>
      </c>
      <c r="AY14" s="2">
        <v>0</v>
      </c>
      <c r="AZ14" s="2">
        <v>0</v>
      </c>
      <c r="BA14" s="2">
        <v>0</v>
      </c>
      <c r="BB14" s="2">
        <v>10</v>
      </c>
      <c r="BC14" s="2">
        <v>0</v>
      </c>
      <c r="BD14" s="2">
        <v>0</v>
      </c>
      <c r="BE14" s="2">
        <v>0</v>
      </c>
      <c r="BF14" s="2">
        <v>0</v>
      </c>
      <c r="BG14" s="2">
        <v>10</v>
      </c>
      <c r="BH14" s="2"/>
      <c r="BI14" s="2"/>
      <c r="BJ14" s="2"/>
      <c r="BK14" s="2"/>
      <c r="BL14" s="2"/>
      <c r="BM14" s="2"/>
      <c r="BN14" s="2"/>
      <c r="BO14"/>
      <c r="BP14" s="7" t="str">
        <f>IF(ROW(BP14)&lt;=(VALUE($A$77)+4),_xlfn.TEXTJOIN(",", FALSE, C14:INDEX(14:14, $BO$3+2))&amp;",","")</f>
        <v>10,0,0,0,0,0,0,0,0,0,0,0,0,0,0,11,0,0,0,0,0,0,0,0,0,0,0,10,0,0,0,0,0,10,10,10,10,10,10,10,10,10,10,10,10,10,0,0,0,0,0,10,0,0,0,0,10,</v>
      </c>
    </row>
    <row r="15" spans="1:70">
      <c r="A15" s="18">
        <f t="shared" si="56"/>
        <v>1</v>
      </c>
      <c r="B15" s="18">
        <f t="shared" si="57"/>
        <v>7</v>
      </c>
      <c r="C15" s="2">
        <v>10</v>
      </c>
      <c r="D15" s="2">
        <v>0</v>
      </c>
      <c r="E15" s="2">
        <v>0</v>
      </c>
      <c r="F15" s="2">
        <v>0</v>
      </c>
      <c r="G15" s="2">
        <v>0</v>
      </c>
      <c r="H15" s="2">
        <v>11</v>
      </c>
      <c r="I15" s="2">
        <v>0</v>
      </c>
      <c r="J15" s="2">
        <v>0</v>
      </c>
      <c r="K15" s="2">
        <v>11</v>
      </c>
      <c r="L15" s="2">
        <v>0</v>
      </c>
      <c r="M15" s="2">
        <v>0</v>
      </c>
      <c r="N15" s="2">
        <v>0</v>
      </c>
      <c r="O15" s="2">
        <v>11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10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10</v>
      </c>
      <c r="AK15" s="2">
        <v>10</v>
      </c>
      <c r="AL15" s="2">
        <v>10</v>
      </c>
      <c r="AM15" s="2">
        <v>10</v>
      </c>
      <c r="AN15" s="2">
        <v>10</v>
      </c>
      <c r="AO15" s="2">
        <v>10</v>
      </c>
      <c r="AP15" s="2">
        <v>10</v>
      </c>
      <c r="AQ15" s="2">
        <v>10</v>
      </c>
      <c r="AR15" s="2">
        <v>10</v>
      </c>
      <c r="AS15" s="2">
        <v>10</v>
      </c>
      <c r="AT15" s="2">
        <v>10</v>
      </c>
      <c r="AU15" s="2">
        <v>10</v>
      </c>
      <c r="AV15" s="2">
        <v>10</v>
      </c>
      <c r="AW15" s="2">
        <v>0</v>
      </c>
      <c r="AX15" s="2">
        <v>0</v>
      </c>
      <c r="AY15" s="2">
        <v>0</v>
      </c>
      <c r="AZ15" s="2">
        <v>0</v>
      </c>
      <c r="BA15" s="2">
        <v>0</v>
      </c>
      <c r="BB15" s="2">
        <v>10</v>
      </c>
      <c r="BC15" s="2">
        <v>0</v>
      </c>
      <c r="BD15" s="2">
        <v>0</v>
      </c>
      <c r="BE15" s="2">
        <v>0</v>
      </c>
      <c r="BF15" s="2">
        <v>0</v>
      </c>
      <c r="BG15" s="2">
        <v>10</v>
      </c>
      <c r="BH15" s="2"/>
      <c r="BI15" s="2"/>
      <c r="BJ15" s="2"/>
      <c r="BK15" s="2"/>
      <c r="BL15" s="2"/>
      <c r="BM15" s="2"/>
      <c r="BN15" s="2"/>
      <c r="BO15"/>
      <c r="BP15" s="7" t="str">
        <f>IF(ROW(BP15)&lt;=(VALUE($A$77)+4),_xlfn.TEXTJOIN(",", FALSE, C15:INDEX(15:15, $BO$3+2))&amp;",","")</f>
        <v>10,0,0,0,0,11,0,0,11,0,0,0,11,0,0,0,0,0,0,0,0,0,0,0,0,0,0,10,0,0,0,0,0,10,10,10,10,10,10,10,10,10,10,10,10,10,0,0,0,0,0,10,0,0,0,0,10,</v>
      </c>
    </row>
    <row r="16" spans="1:70">
      <c r="A16" s="18">
        <f t="shared" si="56"/>
        <v>1</v>
      </c>
      <c r="B16" s="18">
        <f t="shared" si="57"/>
        <v>7</v>
      </c>
      <c r="C16" s="2">
        <v>10</v>
      </c>
      <c r="D16" s="2">
        <v>0</v>
      </c>
      <c r="E16" s="2">
        <v>0</v>
      </c>
      <c r="F16" s="2">
        <v>11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11</v>
      </c>
      <c r="T16" s="2">
        <v>0</v>
      </c>
      <c r="U16" s="2">
        <v>0</v>
      </c>
      <c r="V16" s="2">
        <v>0</v>
      </c>
      <c r="W16" s="2">
        <v>0</v>
      </c>
      <c r="X16" s="2">
        <v>11</v>
      </c>
      <c r="Y16" s="2">
        <v>0</v>
      </c>
      <c r="Z16" s="2">
        <v>0</v>
      </c>
      <c r="AA16" s="2">
        <v>0</v>
      </c>
      <c r="AB16" s="2">
        <v>0</v>
      </c>
      <c r="AC16" s="2">
        <v>0</v>
      </c>
      <c r="AD16" s="2">
        <v>10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10</v>
      </c>
      <c r="AK16" s="2">
        <v>10</v>
      </c>
      <c r="AL16" s="2">
        <v>10</v>
      </c>
      <c r="AM16" s="2">
        <v>10</v>
      </c>
      <c r="AN16" s="2">
        <v>10</v>
      </c>
      <c r="AO16" s="2">
        <v>10</v>
      </c>
      <c r="AP16" s="2">
        <v>10</v>
      </c>
      <c r="AQ16" s="2">
        <v>10</v>
      </c>
      <c r="AR16" s="2">
        <v>10</v>
      </c>
      <c r="AS16" s="2">
        <v>10</v>
      </c>
      <c r="AT16" s="2">
        <v>10</v>
      </c>
      <c r="AU16" s="2">
        <v>10</v>
      </c>
      <c r="AV16" s="2">
        <v>10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10</v>
      </c>
      <c r="BC16" s="2">
        <v>0</v>
      </c>
      <c r="BD16" s="2">
        <v>0</v>
      </c>
      <c r="BE16" s="2">
        <v>0</v>
      </c>
      <c r="BF16" s="2">
        <v>0</v>
      </c>
      <c r="BG16" s="2">
        <v>10</v>
      </c>
      <c r="BH16" s="2"/>
      <c r="BI16" s="2"/>
      <c r="BJ16" s="2"/>
      <c r="BK16" s="2"/>
      <c r="BL16" s="2"/>
      <c r="BM16" s="2"/>
      <c r="BN16" s="2"/>
      <c r="BO16"/>
      <c r="BP16" s="7" t="str">
        <f>IF(ROW(BP16)&lt;=(VALUE($A$77)+4),_xlfn.TEXTJOIN(",", FALSE, C16:INDEX(16:16, $BO$3+2))&amp;",","")</f>
        <v>10,0,0,11,0,0,0,0,0,0,0,0,0,0,0,0,11,0,0,0,0,11,0,0,0,0,0,10,0,0,0,0,0,10,10,10,10,10,10,10,10,10,10,10,10,10,0,0,0,0,0,10,0,0,0,0,10,</v>
      </c>
    </row>
    <row r="17" spans="1:68">
      <c r="A17" s="18">
        <f t="shared" si="56"/>
        <v>1</v>
      </c>
      <c r="B17" s="18">
        <f t="shared" si="57"/>
        <v>7</v>
      </c>
      <c r="C17" s="2">
        <v>10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11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10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10</v>
      </c>
      <c r="AK17" s="2">
        <v>10</v>
      </c>
      <c r="AL17" s="2">
        <v>10</v>
      </c>
      <c r="AM17" s="2">
        <v>10</v>
      </c>
      <c r="AN17" s="2">
        <v>10</v>
      </c>
      <c r="AO17" s="2">
        <v>10</v>
      </c>
      <c r="AP17" s="2">
        <v>10</v>
      </c>
      <c r="AQ17" s="2">
        <v>10</v>
      </c>
      <c r="AR17" s="2">
        <v>10</v>
      </c>
      <c r="AS17" s="2">
        <v>10</v>
      </c>
      <c r="AT17" s="2">
        <v>10</v>
      </c>
      <c r="AU17" s="2">
        <v>10</v>
      </c>
      <c r="AV17" s="2">
        <v>10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10</v>
      </c>
      <c r="BC17" s="2">
        <v>0</v>
      </c>
      <c r="BD17" s="2">
        <v>0</v>
      </c>
      <c r="BE17" s="2">
        <v>0</v>
      </c>
      <c r="BF17" s="2">
        <v>0</v>
      </c>
      <c r="BG17" s="2">
        <v>10</v>
      </c>
      <c r="BH17" s="2"/>
      <c r="BI17" s="2"/>
      <c r="BJ17" s="2"/>
      <c r="BK17" s="2"/>
      <c r="BL17" s="2"/>
      <c r="BM17" s="2"/>
      <c r="BN17" s="2"/>
      <c r="BO17"/>
      <c r="BP17" s="7" t="str">
        <f>IF(ROW(BP17)&lt;=(VALUE($A$77)+4),_xlfn.TEXTJOIN(",", FALSE, C17:INDEX(17:17, $BO$3+2))&amp;",","")</f>
        <v>10,0,0,0,0,0,0,0,0,0,0,0,0,0,0,0,0,0,11,0,0,0,0,0,0,0,0,10,0,0,0,0,0,10,10,10,10,10,10,10,10,10,10,10,10,10,0,0,0,0,0,10,0,0,0,0,10,</v>
      </c>
    </row>
    <row r="18" spans="1:68">
      <c r="A18" s="18">
        <f t="shared" si="56"/>
        <v>1</v>
      </c>
      <c r="B18" s="18">
        <f t="shared" si="57"/>
        <v>7</v>
      </c>
      <c r="C18" s="2">
        <v>10</v>
      </c>
      <c r="D18" s="2">
        <v>0</v>
      </c>
      <c r="E18" s="2">
        <v>11</v>
      </c>
      <c r="F18" s="2">
        <v>0</v>
      </c>
      <c r="G18" s="2">
        <v>0</v>
      </c>
      <c r="H18" s="2">
        <v>11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11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10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10</v>
      </c>
      <c r="AK18" s="2">
        <v>10</v>
      </c>
      <c r="AL18" s="2">
        <v>10</v>
      </c>
      <c r="AM18" s="2">
        <v>10</v>
      </c>
      <c r="AN18" s="2">
        <v>10</v>
      </c>
      <c r="AO18" s="2">
        <v>10</v>
      </c>
      <c r="AP18" s="2">
        <v>10</v>
      </c>
      <c r="AQ18" s="2">
        <v>10</v>
      </c>
      <c r="AR18" s="2">
        <v>10</v>
      </c>
      <c r="AS18" s="2">
        <v>10</v>
      </c>
      <c r="AT18" s="2">
        <v>10</v>
      </c>
      <c r="AU18" s="2">
        <v>10</v>
      </c>
      <c r="AV18" s="2">
        <v>10</v>
      </c>
      <c r="AW18" s="2">
        <v>0</v>
      </c>
      <c r="AX18" s="2">
        <v>0</v>
      </c>
      <c r="AY18" s="2">
        <v>0</v>
      </c>
      <c r="AZ18" s="2">
        <v>0</v>
      </c>
      <c r="BA18" s="2">
        <v>0</v>
      </c>
      <c r="BB18" s="2">
        <v>10</v>
      </c>
      <c r="BC18" s="2">
        <v>0</v>
      </c>
      <c r="BD18" s="2">
        <v>0</v>
      </c>
      <c r="BE18" s="2">
        <v>0</v>
      </c>
      <c r="BF18" s="2">
        <v>0</v>
      </c>
      <c r="BG18" s="2">
        <v>10</v>
      </c>
      <c r="BH18" s="2"/>
      <c r="BI18" s="2"/>
      <c r="BJ18" s="2"/>
      <c r="BK18" s="2"/>
      <c r="BL18" s="2"/>
      <c r="BM18" s="2"/>
      <c r="BN18" s="2"/>
      <c r="BO18"/>
      <c r="BP18" s="7" t="str">
        <f>IF(ROW(BP18)&lt;=(VALUE($A$77)+4),_xlfn.TEXTJOIN(",", FALSE, C18:INDEX(18:18, $BO$3+2))&amp;",","")</f>
        <v>10,0,11,0,0,11,0,0,0,0,0,11,0,0,0,0,0,0,0,0,0,0,0,0,0,0,0,10,0,0,0,0,0,10,10,10,10,10,10,10,10,10,10,10,10,10,0,0,0,0,0,10,0,0,0,0,10,</v>
      </c>
    </row>
    <row r="19" spans="1:68">
      <c r="A19" s="18">
        <f t="shared" si="56"/>
        <v>1</v>
      </c>
      <c r="B19" s="18">
        <f t="shared" si="57"/>
        <v>7</v>
      </c>
      <c r="C19" s="2">
        <v>10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11</v>
      </c>
      <c r="M19" s="2">
        <v>0</v>
      </c>
      <c r="N19" s="2">
        <v>0</v>
      </c>
      <c r="O19" s="2">
        <v>0</v>
      </c>
      <c r="P19" s="2">
        <v>0</v>
      </c>
      <c r="Q19" s="2">
        <v>11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1</v>
      </c>
      <c r="AP19" s="2">
        <v>1</v>
      </c>
      <c r="AQ19" s="2">
        <v>1</v>
      </c>
      <c r="AR19" s="2">
        <v>1</v>
      </c>
      <c r="AS19" s="2">
        <v>0</v>
      </c>
      <c r="AT19" s="2">
        <v>0</v>
      </c>
      <c r="AU19" s="2">
        <v>0</v>
      </c>
      <c r="AV19" s="2">
        <v>0</v>
      </c>
      <c r="AW19" s="2">
        <v>0</v>
      </c>
      <c r="AX19" s="2">
        <v>0</v>
      </c>
      <c r="AY19" s="2">
        <v>0</v>
      </c>
      <c r="AZ19" s="2">
        <v>0</v>
      </c>
      <c r="BA19" s="2">
        <v>0</v>
      </c>
      <c r="BB19" s="2">
        <v>10</v>
      </c>
      <c r="BC19" s="2">
        <v>0</v>
      </c>
      <c r="BD19" s="2">
        <v>0</v>
      </c>
      <c r="BE19" s="2">
        <v>0</v>
      </c>
      <c r="BF19" s="2">
        <v>0</v>
      </c>
      <c r="BG19" s="2">
        <v>10</v>
      </c>
      <c r="BH19" s="2"/>
      <c r="BI19" s="2"/>
      <c r="BJ19" s="2"/>
      <c r="BK19" s="2"/>
      <c r="BL19" s="2"/>
      <c r="BM19" s="2"/>
      <c r="BN19" s="2"/>
      <c r="BO19"/>
      <c r="BP19" s="7" t="str">
        <f>IF(ROW(BP19)&lt;=(VALUE($A$77)+4),_xlfn.TEXTJOIN(",", FALSE, C19:INDEX(19:19, $BO$3+2))&amp;",","")</f>
        <v>10,0,0,0,0,0,0,0,0,11,0,0,0,0,11,0,0,0,0,0,0,0,0,0,0,0,0,10,0,0,0,0,0,0,0,0,0,0,1,1,1,1,0,0,0,0,0,0,0,0,0,10,0,0,0,0,10,</v>
      </c>
    </row>
    <row r="20" spans="1:68">
      <c r="A20" s="18">
        <f t="shared" si="56"/>
        <v>1</v>
      </c>
      <c r="B20" s="18">
        <f t="shared" si="57"/>
        <v>7</v>
      </c>
      <c r="C20" s="2">
        <v>10</v>
      </c>
      <c r="D20" s="2">
        <v>0</v>
      </c>
      <c r="E20" s="2">
        <v>0</v>
      </c>
      <c r="F20" s="2">
        <v>11</v>
      </c>
      <c r="G20" s="2">
        <v>0</v>
      </c>
      <c r="H20" s="2">
        <v>0</v>
      </c>
      <c r="I20" s="2">
        <v>0</v>
      </c>
      <c r="J20" s="2">
        <v>11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10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1</v>
      </c>
      <c r="AP20" s="2">
        <v>1</v>
      </c>
      <c r="AQ20" s="2">
        <v>1</v>
      </c>
      <c r="AR20" s="2">
        <v>1</v>
      </c>
      <c r="AS20" s="2">
        <v>0</v>
      </c>
      <c r="AT20" s="2">
        <v>0</v>
      </c>
      <c r="AU20" s="2">
        <v>0</v>
      </c>
      <c r="AV20" s="2">
        <v>0</v>
      </c>
      <c r="AW20" s="2">
        <v>0</v>
      </c>
      <c r="AX20" s="2">
        <v>0</v>
      </c>
      <c r="AY20" s="2">
        <v>0</v>
      </c>
      <c r="AZ20" s="2">
        <v>0</v>
      </c>
      <c r="BA20" s="2">
        <v>0</v>
      </c>
      <c r="BB20" s="2">
        <v>10</v>
      </c>
      <c r="BC20" s="2">
        <v>0</v>
      </c>
      <c r="BD20" s="2">
        <v>0</v>
      </c>
      <c r="BE20" s="2">
        <v>0</v>
      </c>
      <c r="BF20" s="2">
        <v>0</v>
      </c>
      <c r="BG20" s="2">
        <v>10</v>
      </c>
      <c r="BH20" s="2"/>
      <c r="BI20" s="2"/>
      <c r="BJ20" s="2"/>
      <c r="BK20" s="2"/>
      <c r="BL20" s="2"/>
      <c r="BM20" s="2"/>
      <c r="BN20" s="2"/>
      <c r="BO20"/>
      <c r="BP20" s="7" t="str">
        <f>IF(ROW(BP20)&lt;=(VALUE($A$77)+4),_xlfn.TEXTJOIN(",", FALSE, C20:INDEX(20:20, $BO$3+2))&amp;",","")</f>
        <v>10,0,0,11,0,0,0,11,0,0,0,0,0,0,0,0,0,0,0,0,0,0,0,0,0,0,0,10,0,0,0,0,0,0,0,0,0,0,1,1,1,1,0,0,0,0,0,0,0,0,0,10,0,0,0,0,10,</v>
      </c>
    </row>
    <row r="21" spans="1:68">
      <c r="A21" s="18">
        <f t="shared" si="56"/>
        <v>1</v>
      </c>
      <c r="B21" s="18">
        <f t="shared" si="57"/>
        <v>7</v>
      </c>
      <c r="C21" s="2">
        <v>10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11</v>
      </c>
      <c r="R21" s="2">
        <v>0</v>
      </c>
      <c r="S21" s="2">
        <v>0</v>
      </c>
      <c r="T21" s="2">
        <v>11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10</v>
      </c>
      <c r="AE21" s="2">
        <v>0</v>
      </c>
      <c r="AF21" s="2">
        <v>10</v>
      </c>
      <c r="AG21" s="2">
        <v>0</v>
      </c>
      <c r="AH21" s="2">
        <v>10</v>
      </c>
      <c r="AI21" s="2">
        <v>0</v>
      </c>
      <c r="AJ21" s="2">
        <v>10</v>
      </c>
      <c r="AK21" s="2">
        <v>0</v>
      </c>
      <c r="AL21" s="2">
        <v>10</v>
      </c>
      <c r="AM21" s="2">
        <v>0</v>
      </c>
      <c r="AN21" s="2">
        <v>10</v>
      </c>
      <c r="AO21" s="2">
        <v>1</v>
      </c>
      <c r="AP21" s="2">
        <v>1</v>
      </c>
      <c r="AQ21" s="2">
        <v>1</v>
      </c>
      <c r="AR21" s="2">
        <v>1</v>
      </c>
      <c r="AS21" s="2">
        <v>0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10</v>
      </c>
      <c r="BC21" s="2">
        <v>0</v>
      </c>
      <c r="BD21" s="2">
        <v>0</v>
      </c>
      <c r="BE21" s="2">
        <v>0</v>
      </c>
      <c r="BF21" s="2">
        <v>0</v>
      </c>
      <c r="BG21" s="2">
        <v>10</v>
      </c>
      <c r="BH21" s="2"/>
      <c r="BI21" s="2"/>
      <c r="BJ21" s="2"/>
      <c r="BK21" s="2"/>
      <c r="BL21" s="2"/>
      <c r="BM21" s="2"/>
      <c r="BN21" s="2"/>
      <c r="BO21"/>
      <c r="BP21" s="7" t="str">
        <f>IF(ROW(BP21)&lt;=(VALUE($A$77)+4),_xlfn.TEXTJOIN(",", FALSE, C21:INDEX(21:21, $BO$3+2))&amp;",","")</f>
        <v>10,0,0,0,0,0,0,0,0,0,0,0,0,0,11,0,0,11,0,0,0,0,0,0,0,0,0,10,0,10,0,10,0,10,0,10,0,10,1,1,1,1,0,0,0,0,0,0,0,0,0,10,0,0,0,0,10,</v>
      </c>
    </row>
    <row r="22" spans="1:68">
      <c r="A22" s="18">
        <f t="shared" si="56"/>
        <v>1</v>
      </c>
      <c r="B22" s="18">
        <f t="shared" si="57"/>
        <v>7</v>
      </c>
      <c r="C22" s="2">
        <v>10</v>
      </c>
      <c r="D22" s="2">
        <v>0</v>
      </c>
      <c r="E22" s="2">
        <v>0</v>
      </c>
      <c r="F22" s="2">
        <v>11</v>
      </c>
      <c r="G22" s="2">
        <v>0</v>
      </c>
      <c r="H22" s="2">
        <v>0</v>
      </c>
      <c r="I22" s="2">
        <v>11</v>
      </c>
      <c r="J22" s="2">
        <v>11</v>
      </c>
      <c r="K22" s="2">
        <v>0</v>
      </c>
      <c r="L22" s="2">
        <v>11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11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10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1</v>
      </c>
      <c r="AP22" s="2">
        <v>1</v>
      </c>
      <c r="AQ22" s="2">
        <v>1</v>
      </c>
      <c r="AR22" s="2">
        <v>1</v>
      </c>
      <c r="AS22" s="2">
        <v>0</v>
      </c>
      <c r="AT22" s="2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10</v>
      </c>
      <c r="BC22" s="2">
        <v>0</v>
      </c>
      <c r="BD22" s="2">
        <v>0</v>
      </c>
      <c r="BE22" s="2">
        <v>0</v>
      </c>
      <c r="BF22" s="2">
        <v>0</v>
      </c>
      <c r="BG22" s="2">
        <v>10</v>
      </c>
      <c r="BH22" s="2"/>
      <c r="BI22" s="2"/>
      <c r="BJ22" s="2"/>
      <c r="BK22" s="2"/>
      <c r="BL22" s="2"/>
      <c r="BM22" s="2"/>
      <c r="BN22" s="2"/>
      <c r="BO22"/>
      <c r="BP22" s="7" t="str">
        <f>IF(ROW(BP22)&lt;=(VALUE($A$77)+4),_xlfn.TEXTJOIN(",", FALSE, C22:INDEX(22:22, $BO$3+2))&amp;",","")</f>
        <v>10,0,0,11,0,0,11,11,0,11,0,0,0,0,0,0,0,0,0,0,0,11,0,0,0,0,0,10,0,0,0,0,0,0,0,0,0,0,1,1,1,1,0,0,0,0,0,0,0,0,0,10,0,0,0,0,10,</v>
      </c>
    </row>
    <row r="23" spans="1:68">
      <c r="A23" s="18">
        <f t="shared" si="56"/>
        <v>1</v>
      </c>
      <c r="B23" s="18">
        <f t="shared" si="57"/>
        <v>7</v>
      </c>
      <c r="C23" s="2">
        <v>10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11</v>
      </c>
      <c r="J23" s="2">
        <v>1</v>
      </c>
      <c r="K23" s="2">
        <v>1</v>
      </c>
      <c r="L23" s="2">
        <v>1</v>
      </c>
      <c r="M23" s="2">
        <v>1</v>
      </c>
      <c r="N23" s="2">
        <v>1</v>
      </c>
      <c r="O23" s="2">
        <v>1</v>
      </c>
      <c r="P23" s="2">
        <v>1</v>
      </c>
      <c r="Q23" s="2">
        <v>1</v>
      </c>
      <c r="R23" s="2">
        <v>1</v>
      </c>
      <c r="S23" s="2">
        <v>1</v>
      </c>
      <c r="T23" s="2">
        <v>30</v>
      </c>
      <c r="U23" s="2">
        <v>1</v>
      </c>
      <c r="V23" s="2">
        <v>1</v>
      </c>
      <c r="W23" s="2">
        <v>1</v>
      </c>
      <c r="X23" s="2">
        <v>1</v>
      </c>
      <c r="Y23" s="2">
        <v>1</v>
      </c>
      <c r="Z23" s="2">
        <v>1</v>
      </c>
      <c r="AA23" s="2">
        <v>1</v>
      </c>
      <c r="AB23" s="2">
        <v>1</v>
      </c>
      <c r="AC23" s="2">
        <v>1</v>
      </c>
      <c r="AD23" s="2">
        <v>1</v>
      </c>
      <c r="AE23" s="2">
        <v>1</v>
      </c>
      <c r="AF23" s="2">
        <v>1</v>
      </c>
      <c r="AG23" s="2">
        <v>1</v>
      </c>
      <c r="AH23" s="2">
        <v>1</v>
      </c>
      <c r="AI23" s="2">
        <v>1</v>
      </c>
      <c r="AJ23" s="2">
        <v>1</v>
      </c>
      <c r="AK23" s="2">
        <v>1</v>
      </c>
      <c r="AL23" s="2">
        <v>1</v>
      </c>
      <c r="AM23" s="2">
        <v>1</v>
      </c>
      <c r="AN23" s="2">
        <v>1</v>
      </c>
      <c r="AO23" s="2">
        <v>1</v>
      </c>
      <c r="AP23" s="2">
        <v>1</v>
      </c>
      <c r="AQ23" s="2">
        <v>1</v>
      </c>
      <c r="AR23" s="2">
        <v>1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2">
        <v>0</v>
      </c>
      <c r="AZ23" s="2">
        <v>0</v>
      </c>
      <c r="BA23" s="2">
        <v>0</v>
      </c>
      <c r="BB23" s="2">
        <v>10</v>
      </c>
      <c r="BC23" s="2">
        <v>0</v>
      </c>
      <c r="BD23" s="2">
        <v>0</v>
      </c>
      <c r="BE23" s="2">
        <v>0</v>
      </c>
      <c r="BF23" s="2">
        <v>0</v>
      </c>
      <c r="BG23" s="2">
        <v>10</v>
      </c>
      <c r="BH23" s="2"/>
      <c r="BI23" s="2"/>
      <c r="BJ23" s="2"/>
      <c r="BK23" s="2"/>
      <c r="BL23" s="2"/>
      <c r="BM23" s="2"/>
      <c r="BN23" s="2"/>
      <c r="BO23"/>
      <c r="BP23" s="7" t="str">
        <f>IF(ROW(BP23)&lt;=(VALUE($A$77)+4),_xlfn.TEXTJOIN(",", FALSE, C23:INDEX(23:23, $BO$3+2))&amp;",","")</f>
        <v>10,0,0,0,0,0,11,1,1,1,1,1,1,1,1,1,1,30,1,1,1,1,1,1,1,1,1,1,1,1,1,1,1,1,1,1,1,1,1,1,1,1,0,0,0,0,0,0,0,0,0,10,0,0,0,0,10,</v>
      </c>
    </row>
    <row r="24" spans="1:68">
      <c r="A24" s="18">
        <f t="shared" si="56"/>
        <v>1</v>
      </c>
      <c r="B24" s="18">
        <f t="shared" si="57"/>
        <v>7</v>
      </c>
      <c r="C24" s="2">
        <v>10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11</v>
      </c>
      <c r="J24" s="2">
        <v>1</v>
      </c>
      <c r="K24" s="2">
        <v>1</v>
      </c>
      <c r="L24" s="2">
        <v>1</v>
      </c>
      <c r="M24" s="2">
        <v>1</v>
      </c>
      <c r="N24" s="2">
        <v>1</v>
      </c>
      <c r="O24" s="2">
        <v>1</v>
      </c>
      <c r="P24" s="2">
        <v>1</v>
      </c>
      <c r="Q24" s="2">
        <v>1</v>
      </c>
      <c r="R24" s="2">
        <v>1</v>
      </c>
      <c r="S24" s="2">
        <v>1</v>
      </c>
      <c r="T24" s="2">
        <v>1</v>
      </c>
      <c r="U24" s="2">
        <v>1</v>
      </c>
      <c r="V24" s="2">
        <v>1</v>
      </c>
      <c r="W24" s="2">
        <v>1</v>
      </c>
      <c r="X24" s="2">
        <v>1</v>
      </c>
      <c r="Y24" s="2">
        <v>1</v>
      </c>
      <c r="Z24" s="2">
        <v>1</v>
      </c>
      <c r="AA24" s="2">
        <v>1</v>
      </c>
      <c r="AB24" s="2">
        <v>1</v>
      </c>
      <c r="AC24" s="2">
        <v>12</v>
      </c>
      <c r="AD24" s="2">
        <v>1</v>
      </c>
      <c r="AE24" s="2">
        <v>1</v>
      </c>
      <c r="AF24" s="2">
        <v>1</v>
      </c>
      <c r="AG24" s="2">
        <v>1</v>
      </c>
      <c r="AH24" s="2">
        <v>1</v>
      </c>
      <c r="AI24" s="2">
        <v>1</v>
      </c>
      <c r="AJ24" s="2">
        <v>1</v>
      </c>
      <c r="AK24" s="2">
        <v>1</v>
      </c>
      <c r="AL24" s="2">
        <v>1</v>
      </c>
      <c r="AM24" s="2">
        <v>1</v>
      </c>
      <c r="AN24" s="2">
        <v>1</v>
      </c>
      <c r="AO24" s="2">
        <v>30</v>
      </c>
      <c r="AP24" s="2">
        <v>1</v>
      </c>
      <c r="AQ24" s="2">
        <v>1</v>
      </c>
      <c r="AR24" s="2">
        <v>30</v>
      </c>
      <c r="AS24" s="2">
        <v>0</v>
      </c>
      <c r="AT24" s="2">
        <v>0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>
        <v>0</v>
      </c>
      <c r="BA24" s="2">
        <v>0</v>
      </c>
      <c r="BB24" s="2">
        <v>10</v>
      </c>
      <c r="BC24" s="2">
        <v>0</v>
      </c>
      <c r="BD24" s="2">
        <v>0</v>
      </c>
      <c r="BE24" s="2">
        <v>0</v>
      </c>
      <c r="BF24" s="2">
        <v>0</v>
      </c>
      <c r="BG24" s="2">
        <v>10</v>
      </c>
      <c r="BH24" s="2"/>
      <c r="BI24" s="2"/>
      <c r="BJ24" s="2"/>
      <c r="BK24" s="2"/>
      <c r="BL24" s="2"/>
      <c r="BM24" s="2"/>
      <c r="BN24" s="2"/>
      <c r="BO24"/>
      <c r="BP24" s="7" t="str">
        <f>IF(ROW(BP24)&lt;=(VALUE($A$77)+4),_xlfn.TEXTJOIN(",", FALSE, C24:INDEX(24:24, $BO$3+2))&amp;",","")</f>
        <v>10,0,0,0,0,0,11,1,1,1,1,1,1,1,1,1,1,1,1,1,1,1,1,1,1,1,12,1,1,1,1,1,1,1,1,1,1,1,30,1,1,30,0,0,0,0,0,0,0,0,0,10,0,0,0,0,10,</v>
      </c>
    </row>
    <row r="25" spans="1:68">
      <c r="A25" s="18">
        <f t="shared" si="56"/>
        <v>1</v>
      </c>
      <c r="B25" s="18">
        <f t="shared" si="57"/>
        <v>7</v>
      </c>
      <c r="C25" s="2">
        <v>10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1</v>
      </c>
      <c r="K25" s="2">
        <v>30</v>
      </c>
      <c r="L25" s="2">
        <v>1</v>
      </c>
      <c r="M25" s="2">
        <v>1</v>
      </c>
      <c r="N25" s="2">
        <v>1</v>
      </c>
      <c r="O25" s="2">
        <v>1</v>
      </c>
      <c r="P25" s="2">
        <v>1</v>
      </c>
      <c r="Q25" s="2">
        <v>1</v>
      </c>
      <c r="R25" s="2">
        <v>1</v>
      </c>
      <c r="S25" s="2">
        <v>1</v>
      </c>
      <c r="T25" s="2">
        <v>30</v>
      </c>
      <c r="U25" s="2">
        <v>1</v>
      </c>
      <c r="V25" s="2">
        <v>1</v>
      </c>
      <c r="W25" s="2">
        <v>1</v>
      </c>
      <c r="X25" s="2">
        <v>1</v>
      </c>
      <c r="Y25" s="2">
        <v>1</v>
      </c>
      <c r="Z25" s="2">
        <v>1</v>
      </c>
      <c r="AA25" s="2">
        <v>1</v>
      </c>
      <c r="AB25" s="2">
        <v>1</v>
      </c>
      <c r="AC25" s="2">
        <v>1</v>
      </c>
      <c r="AD25" s="2">
        <v>1</v>
      </c>
      <c r="AE25" s="2">
        <v>1</v>
      </c>
      <c r="AF25" s="2">
        <v>1</v>
      </c>
      <c r="AG25" s="2">
        <v>1</v>
      </c>
      <c r="AH25" s="2">
        <v>1</v>
      </c>
      <c r="AI25" s="2">
        <v>1</v>
      </c>
      <c r="AJ25" s="2">
        <v>1</v>
      </c>
      <c r="AK25" s="2">
        <v>1</v>
      </c>
      <c r="AL25" s="2">
        <v>1</v>
      </c>
      <c r="AM25" s="2">
        <v>1</v>
      </c>
      <c r="AN25" s="2">
        <v>1</v>
      </c>
      <c r="AO25" s="2">
        <v>1</v>
      </c>
      <c r="AP25" s="2">
        <v>1</v>
      </c>
      <c r="AQ25" s="2">
        <v>1</v>
      </c>
      <c r="AR25" s="2">
        <v>1</v>
      </c>
      <c r="AS25" s="2">
        <v>0</v>
      </c>
      <c r="AT25" s="2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0</v>
      </c>
      <c r="BA25" s="2">
        <v>0</v>
      </c>
      <c r="BB25" s="2">
        <v>0</v>
      </c>
      <c r="BC25" s="2">
        <v>0</v>
      </c>
      <c r="BD25" s="2">
        <v>0</v>
      </c>
      <c r="BE25" s="2">
        <v>0</v>
      </c>
      <c r="BF25" s="2">
        <v>0</v>
      </c>
      <c r="BG25" s="2">
        <v>10</v>
      </c>
      <c r="BH25" s="2"/>
      <c r="BI25" s="2"/>
      <c r="BJ25" s="2"/>
      <c r="BK25" s="2"/>
      <c r="BL25" s="2"/>
      <c r="BM25" s="2"/>
      <c r="BN25" s="2"/>
      <c r="BO25"/>
      <c r="BP25" s="7" t="str">
        <f>IF(ROW(BP25)&lt;=(VALUE($A$77)+4),_xlfn.TEXTJOIN(",", FALSE, C25:INDEX(25:25, $BO$3+2))&amp;",","")</f>
        <v>10,0,0,0,0,0,0,1,30,1,1,1,1,1,1,1,1,30,1,1,1,1,1,1,1,1,1,1,1,1,1,1,1,1,1,1,1,1,1,1,1,1,0,0,0,0,0,0,0,0,0,0,0,0,0,0,10,</v>
      </c>
    </row>
    <row r="26" spans="1:68">
      <c r="A26" s="18">
        <f t="shared" si="56"/>
        <v>1</v>
      </c>
      <c r="B26" s="18">
        <f t="shared" si="57"/>
        <v>7</v>
      </c>
      <c r="C26" s="2">
        <v>10</v>
      </c>
      <c r="D26" s="2">
        <v>0</v>
      </c>
      <c r="E26" s="2">
        <v>0</v>
      </c>
      <c r="F26" s="2">
        <v>11</v>
      </c>
      <c r="G26" s="2">
        <v>0</v>
      </c>
      <c r="H26" s="2">
        <v>0</v>
      </c>
      <c r="I26" s="2">
        <v>11</v>
      </c>
      <c r="J26" s="2">
        <v>1</v>
      </c>
      <c r="K26" s="2">
        <v>1</v>
      </c>
      <c r="L26" s="2">
        <v>1</v>
      </c>
      <c r="M26" s="2">
        <v>1</v>
      </c>
      <c r="N26" s="2">
        <v>1</v>
      </c>
      <c r="O26" s="2">
        <v>1</v>
      </c>
      <c r="P26" s="2">
        <v>1</v>
      </c>
      <c r="Q26" s="2">
        <v>1</v>
      </c>
      <c r="R26" s="2">
        <v>1</v>
      </c>
      <c r="S26" s="2">
        <v>1</v>
      </c>
      <c r="T26" s="2">
        <v>1</v>
      </c>
      <c r="U26" s="2">
        <v>1</v>
      </c>
      <c r="V26" s="2">
        <v>1</v>
      </c>
      <c r="W26" s="2">
        <v>1</v>
      </c>
      <c r="X26" s="2">
        <v>1</v>
      </c>
      <c r="Y26" s="2">
        <v>1</v>
      </c>
      <c r="Z26" s="2">
        <v>1</v>
      </c>
      <c r="AA26" s="2">
        <v>1</v>
      </c>
      <c r="AB26" s="2">
        <v>1</v>
      </c>
      <c r="AC26" s="2">
        <v>1</v>
      </c>
      <c r="AD26" s="2">
        <v>1</v>
      </c>
      <c r="AE26" s="2">
        <v>1</v>
      </c>
      <c r="AF26" s="2">
        <v>1</v>
      </c>
      <c r="AG26" s="2">
        <v>1</v>
      </c>
      <c r="AH26" s="2">
        <v>1</v>
      </c>
      <c r="AI26" s="2">
        <v>1</v>
      </c>
      <c r="AJ26" s="2">
        <v>1</v>
      </c>
      <c r="AK26" s="2">
        <v>1</v>
      </c>
      <c r="AL26" s="2">
        <v>1</v>
      </c>
      <c r="AM26" s="2">
        <v>1</v>
      </c>
      <c r="AN26" s="2">
        <v>1</v>
      </c>
      <c r="AO26" s="2">
        <v>1</v>
      </c>
      <c r="AP26" s="2">
        <v>1</v>
      </c>
      <c r="AQ26" s="2">
        <v>1</v>
      </c>
      <c r="AR26" s="2">
        <v>1</v>
      </c>
      <c r="AS26" s="2">
        <v>0</v>
      </c>
      <c r="AT26" s="2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2">
        <v>10</v>
      </c>
      <c r="BH26" s="2"/>
      <c r="BI26" s="2"/>
      <c r="BJ26" s="2"/>
      <c r="BK26" s="2"/>
      <c r="BL26" s="2"/>
      <c r="BM26" s="2"/>
      <c r="BN26" s="2"/>
      <c r="BO26"/>
      <c r="BP26" s="7" t="str">
        <f>IF(ROW(BP26)&lt;=(VALUE($A$77)+4),_xlfn.TEXTJOIN(",", FALSE, C26:INDEX(26:26, $BO$3+2))&amp;",","")</f>
        <v>10,0,0,11,0,0,11,1,1,1,1,1,1,1,1,1,1,1,1,1,1,1,1,1,1,1,1,1,1,1,1,1,1,1,1,1,1,1,1,1,1,1,0,0,0,0,0,0,0,0,0,0,0,0,0,0,10,</v>
      </c>
    </row>
    <row r="27" spans="1:68">
      <c r="A27" s="18">
        <f t="shared" si="56"/>
        <v>1</v>
      </c>
      <c r="B27" s="18">
        <f t="shared" si="57"/>
        <v>7</v>
      </c>
      <c r="C27" s="2">
        <v>10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11</v>
      </c>
      <c r="J27" s="2">
        <v>1</v>
      </c>
      <c r="K27" s="2">
        <v>1</v>
      </c>
      <c r="L27" s="2">
        <v>1</v>
      </c>
      <c r="M27" s="2">
        <v>1</v>
      </c>
      <c r="N27" s="2">
        <v>1</v>
      </c>
      <c r="O27" s="2">
        <v>1</v>
      </c>
      <c r="P27" s="2">
        <v>1</v>
      </c>
      <c r="Q27" s="2">
        <v>1</v>
      </c>
      <c r="R27" s="2">
        <v>1</v>
      </c>
      <c r="S27" s="2">
        <v>1</v>
      </c>
      <c r="T27" s="2">
        <v>1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1</v>
      </c>
      <c r="AA27" s="2">
        <v>1</v>
      </c>
      <c r="AB27" s="2">
        <v>1</v>
      </c>
      <c r="AC27" s="2">
        <v>12</v>
      </c>
      <c r="AD27" s="2">
        <v>1</v>
      </c>
      <c r="AE27" s="2">
        <v>1</v>
      </c>
      <c r="AF27" s="2">
        <v>1</v>
      </c>
      <c r="AG27" s="2">
        <v>1</v>
      </c>
      <c r="AH27" s="2">
        <v>1</v>
      </c>
      <c r="AI27" s="2">
        <v>1</v>
      </c>
      <c r="AJ27" s="2">
        <v>1</v>
      </c>
      <c r="AK27" s="2">
        <v>1</v>
      </c>
      <c r="AL27" s="2">
        <v>1</v>
      </c>
      <c r="AM27" s="2">
        <v>1</v>
      </c>
      <c r="AN27" s="2">
        <v>1</v>
      </c>
      <c r="AO27" s="2">
        <v>30</v>
      </c>
      <c r="AP27" s="2">
        <v>1</v>
      </c>
      <c r="AQ27" s="2">
        <v>1</v>
      </c>
      <c r="AR27" s="2">
        <v>30</v>
      </c>
      <c r="AS27" s="2">
        <v>0</v>
      </c>
      <c r="AT27" s="2">
        <v>0</v>
      </c>
      <c r="AU27" s="2">
        <v>0</v>
      </c>
      <c r="AV27" s="2">
        <v>0</v>
      </c>
      <c r="AW27" s="2">
        <v>0</v>
      </c>
      <c r="AX27" s="2">
        <v>0</v>
      </c>
      <c r="AY27" s="2">
        <v>0</v>
      </c>
      <c r="AZ27" s="2">
        <v>0</v>
      </c>
      <c r="BA27" s="2">
        <v>0</v>
      </c>
      <c r="BB27" s="2">
        <v>0</v>
      </c>
      <c r="BC27" s="2">
        <v>0</v>
      </c>
      <c r="BD27" s="2">
        <v>0</v>
      </c>
      <c r="BE27" s="2">
        <v>0</v>
      </c>
      <c r="BF27" s="2">
        <v>0</v>
      </c>
      <c r="BG27" s="2">
        <v>10</v>
      </c>
      <c r="BH27" s="2"/>
      <c r="BI27" s="2"/>
      <c r="BJ27" s="2"/>
      <c r="BK27" s="2"/>
      <c r="BL27" s="2"/>
      <c r="BM27" s="2"/>
      <c r="BN27" s="2"/>
      <c r="BO27"/>
      <c r="BP27" s="7" t="str">
        <f>IF(ROW(BP27)&lt;=(VALUE($A$77)+4),_xlfn.TEXTJOIN(",", FALSE, C27:INDEX(27:27, $BO$3+2))&amp;",","")</f>
        <v>10,0,0,0,0,0,11,1,1,1,1,1,1,1,1,1,1,1,1,1,1,1,1,1,1,1,12,1,1,1,1,1,1,1,1,1,1,1,30,1,1,30,0,0,0,0,0,0,0,0,0,0,0,0,0,0,10,</v>
      </c>
    </row>
    <row r="28" spans="1:68">
      <c r="A28" s="18">
        <f t="shared" si="56"/>
        <v>1</v>
      </c>
      <c r="B28" s="18">
        <f t="shared" si="57"/>
        <v>7</v>
      </c>
      <c r="C28" s="2">
        <v>10</v>
      </c>
      <c r="D28" s="2">
        <v>0</v>
      </c>
      <c r="E28" s="2">
        <v>11</v>
      </c>
      <c r="F28" s="2">
        <v>0</v>
      </c>
      <c r="G28" s="2">
        <v>0</v>
      </c>
      <c r="H28" s="2">
        <v>0</v>
      </c>
      <c r="I28" s="2">
        <v>11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1</v>
      </c>
      <c r="P28" s="2">
        <v>1</v>
      </c>
      <c r="Q28" s="2">
        <v>1</v>
      </c>
      <c r="R28" s="2">
        <v>1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2">
        <v>1</v>
      </c>
      <c r="AP28" s="2">
        <v>1</v>
      </c>
      <c r="AQ28" s="2">
        <v>1</v>
      </c>
      <c r="AR28" s="2">
        <v>1</v>
      </c>
      <c r="AS28" s="2">
        <v>0</v>
      </c>
      <c r="AT28" s="2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  <c r="BA28" s="2">
        <v>0</v>
      </c>
      <c r="BB28" s="2">
        <v>0</v>
      </c>
      <c r="BC28" s="2">
        <v>0</v>
      </c>
      <c r="BD28" s="2">
        <v>0</v>
      </c>
      <c r="BE28" s="2">
        <v>0</v>
      </c>
      <c r="BF28" s="2">
        <v>0</v>
      </c>
      <c r="BG28" s="2">
        <v>10</v>
      </c>
      <c r="BH28" s="2"/>
      <c r="BI28" s="2"/>
      <c r="BJ28" s="2"/>
      <c r="BK28" s="2"/>
      <c r="BL28" s="2"/>
      <c r="BM28" s="2"/>
      <c r="BN28" s="2"/>
      <c r="BO28"/>
      <c r="BP28" s="7" t="str">
        <f>IF(ROW(BP28)&lt;=(VALUE($A$77)+4),_xlfn.TEXTJOIN(",", FALSE, C28:INDEX(28:28, $BO$3+2))&amp;",","")</f>
        <v>10,0,11,0,0,0,11,0,0,0,0,0,1,1,1,1,0,0,0,0,0,0,0,0,0,0,0,0,0,0,0,0,0,0,0,0,0,0,1,1,1,1,0,0,0,0,0,0,0,0,0,0,0,0,0,0,10,</v>
      </c>
    </row>
    <row r="29" spans="1:68">
      <c r="A29" s="18">
        <f t="shared" si="56"/>
        <v>1</v>
      </c>
      <c r="B29" s="18">
        <f t="shared" si="57"/>
        <v>7</v>
      </c>
      <c r="C29" s="2">
        <v>10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11</v>
      </c>
      <c r="J29" s="2">
        <v>0</v>
      </c>
      <c r="K29" s="2">
        <v>0</v>
      </c>
      <c r="L29" s="2">
        <v>0</v>
      </c>
      <c r="M29" s="2">
        <v>0</v>
      </c>
      <c r="N29" s="2">
        <v>11</v>
      </c>
      <c r="O29" s="2">
        <v>1</v>
      </c>
      <c r="P29" s="2">
        <v>1</v>
      </c>
      <c r="Q29" s="2">
        <v>1</v>
      </c>
      <c r="R29" s="2">
        <v>1</v>
      </c>
      <c r="S29" s="2">
        <v>0</v>
      </c>
      <c r="T29" s="2">
        <v>0</v>
      </c>
      <c r="U29" s="2">
        <v>0</v>
      </c>
      <c r="V29" s="2">
        <v>11</v>
      </c>
      <c r="W29" s="2">
        <v>0</v>
      </c>
      <c r="X29" s="2">
        <v>0</v>
      </c>
      <c r="Y29" s="2">
        <v>0</v>
      </c>
      <c r="Z29" s="2">
        <v>0</v>
      </c>
      <c r="AA29" s="2">
        <v>11</v>
      </c>
      <c r="AB29" s="2">
        <v>0</v>
      </c>
      <c r="AC29" s="2">
        <v>0</v>
      </c>
      <c r="AD29" s="2">
        <v>10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1</v>
      </c>
      <c r="AP29" s="2">
        <v>1</v>
      </c>
      <c r="AQ29" s="2">
        <v>1</v>
      </c>
      <c r="AR29" s="2">
        <v>1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10</v>
      </c>
      <c r="BH29" s="2"/>
      <c r="BI29" s="2"/>
      <c r="BJ29" s="2"/>
      <c r="BK29" s="2"/>
      <c r="BL29" s="2"/>
      <c r="BM29" s="2"/>
      <c r="BN29" s="2"/>
      <c r="BO29"/>
      <c r="BP29" s="7" t="str">
        <f>IF(ROW(BP29)&lt;=(VALUE($A$77)+4),_xlfn.TEXTJOIN(",", FALSE, C29:INDEX(29:29, $BO$3+2))&amp;",","")</f>
        <v>10,0,0,0,0,0,11,0,0,0,0,11,1,1,1,1,0,0,0,11,0,0,0,0,11,0,0,10,0,0,0,0,0,0,0,0,0,0,1,1,1,1,0,0,0,0,0,0,0,0,0,0,0,0,0,0,10,</v>
      </c>
    </row>
    <row r="30" spans="1:68">
      <c r="A30" s="18">
        <f t="shared" si="56"/>
        <v>1</v>
      </c>
      <c r="B30" s="18">
        <f t="shared" si="57"/>
        <v>7</v>
      </c>
      <c r="C30" s="2">
        <v>10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11</v>
      </c>
      <c r="J30" s="2">
        <v>0</v>
      </c>
      <c r="K30" s="2">
        <v>11</v>
      </c>
      <c r="L30" s="2">
        <v>0</v>
      </c>
      <c r="M30" s="2">
        <v>0</v>
      </c>
      <c r="N30" s="2">
        <v>0</v>
      </c>
      <c r="O30" s="2">
        <v>1</v>
      </c>
      <c r="P30" s="2">
        <v>1</v>
      </c>
      <c r="Q30" s="2">
        <v>1</v>
      </c>
      <c r="R30" s="2">
        <v>1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11</v>
      </c>
      <c r="AA30" s="2">
        <v>0</v>
      </c>
      <c r="AB30" s="2">
        <v>0</v>
      </c>
      <c r="AC30" s="2">
        <v>0</v>
      </c>
      <c r="AD30" s="2">
        <v>10</v>
      </c>
      <c r="AE30" s="2">
        <v>0</v>
      </c>
      <c r="AF30" s="2">
        <v>10</v>
      </c>
      <c r="AG30" s="2">
        <v>0</v>
      </c>
      <c r="AH30" s="2">
        <v>10</v>
      </c>
      <c r="AI30" s="2">
        <v>0</v>
      </c>
      <c r="AJ30" s="2">
        <v>10</v>
      </c>
      <c r="AK30" s="2">
        <v>0</v>
      </c>
      <c r="AL30" s="2">
        <v>10</v>
      </c>
      <c r="AM30" s="2">
        <v>0</v>
      </c>
      <c r="AN30" s="2">
        <v>10</v>
      </c>
      <c r="AO30" s="2">
        <v>1</v>
      </c>
      <c r="AP30" s="2">
        <v>1</v>
      </c>
      <c r="AQ30" s="2">
        <v>1</v>
      </c>
      <c r="AR30" s="2">
        <v>1</v>
      </c>
      <c r="AS30" s="2">
        <v>0</v>
      </c>
      <c r="AT30" s="2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10</v>
      </c>
      <c r="BC30" s="2">
        <v>0</v>
      </c>
      <c r="BD30" s="2">
        <v>0</v>
      </c>
      <c r="BE30" s="2">
        <v>0</v>
      </c>
      <c r="BF30" s="2">
        <v>0</v>
      </c>
      <c r="BG30" s="2">
        <v>10</v>
      </c>
      <c r="BH30" s="2"/>
      <c r="BI30" s="2"/>
      <c r="BJ30" s="2"/>
      <c r="BK30" s="2"/>
      <c r="BL30" s="2"/>
      <c r="BM30" s="2"/>
      <c r="BN30" s="2"/>
      <c r="BO30"/>
      <c r="BP30" s="7" t="str">
        <f>IF(ROW(BP30)&lt;=(VALUE($A$77)+4),_xlfn.TEXTJOIN(",", FALSE, C30:INDEX(30:30, $BO$3+2))&amp;",","")</f>
        <v>10,0,0,0,0,0,11,0,11,0,0,0,1,1,1,1,0,0,0,0,0,0,0,11,0,0,0,10,0,10,0,10,0,10,0,10,0,10,1,1,1,1,0,0,0,0,0,0,0,0,0,10,0,0,0,0,10,</v>
      </c>
    </row>
    <row r="31" spans="1:68">
      <c r="A31" s="18">
        <f t="shared" si="56"/>
        <v>1</v>
      </c>
      <c r="B31" s="18">
        <f t="shared" si="57"/>
        <v>7</v>
      </c>
      <c r="C31" s="2">
        <v>10</v>
      </c>
      <c r="D31" s="2">
        <v>0</v>
      </c>
      <c r="E31" s="2">
        <v>0</v>
      </c>
      <c r="F31" s="2">
        <v>0</v>
      </c>
      <c r="G31" s="2">
        <v>11</v>
      </c>
      <c r="H31" s="2">
        <v>0</v>
      </c>
      <c r="I31" s="2">
        <v>11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1</v>
      </c>
      <c r="P31" s="2">
        <v>1</v>
      </c>
      <c r="Q31" s="2">
        <v>1</v>
      </c>
      <c r="R31" s="2">
        <v>1</v>
      </c>
      <c r="S31" s="2">
        <v>11</v>
      </c>
      <c r="T31" s="2">
        <v>11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10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2">
        <v>1</v>
      </c>
      <c r="AP31" s="2">
        <v>1</v>
      </c>
      <c r="AQ31" s="2">
        <v>1</v>
      </c>
      <c r="AR31" s="2">
        <v>1</v>
      </c>
      <c r="AS31" s="2">
        <v>0</v>
      </c>
      <c r="AT31" s="2">
        <v>0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10</v>
      </c>
      <c r="BC31" s="2">
        <v>11</v>
      </c>
      <c r="BD31" s="2">
        <v>0</v>
      </c>
      <c r="BE31" s="2">
        <v>0</v>
      </c>
      <c r="BF31" s="2">
        <v>11</v>
      </c>
      <c r="BG31" s="2">
        <v>10</v>
      </c>
      <c r="BH31" s="2"/>
      <c r="BI31" s="2"/>
      <c r="BJ31" s="2"/>
      <c r="BK31" s="2"/>
      <c r="BL31" s="2"/>
      <c r="BM31" s="2"/>
      <c r="BN31" s="2"/>
      <c r="BO31"/>
      <c r="BP31" s="7" t="str">
        <f>IF(ROW(BP31)&lt;=(VALUE($A$77)+4),_xlfn.TEXTJOIN(",", FALSE, C31:INDEX(31:31, $BO$3+2))&amp;",","")</f>
        <v>10,0,0,0,11,0,11,0,0,0,0,0,1,1,1,1,11,11,0,0,0,0,0,0,0,0,0,10,0,0,0,0,0,0,0,0,0,0,1,1,1,1,0,0,0,0,0,0,0,0,0,10,11,0,0,11,10,</v>
      </c>
    </row>
    <row r="32" spans="1:68">
      <c r="A32" s="18">
        <f t="shared" si="56"/>
        <v>1</v>
      </c>
      <c r="B32" s="18">
        <f t="shared" si="57"/>
        <v>7</v>
      </c>
      <c r="C32" s="2">
        <v>10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11</v>
      </c>
      <c r="J32" s="2">
        <v>0</v>
      </c>
      <c r="K32" s="2">
        <v>0</v>
      </c>
      <c r="L32" s="2">
        <v>11</v>
      </c>
      <c r="M32" s="2">
        <v>0</v>
      </c>
      <c r="N32" s="2">
        <v>11</v>
      </c>
      <c r="O32" s="2">
        <v>1</v>
      </c>
      <c r="P32" s="2">
        <v>1</v>
      </c>
      <c r="Q32" s="2">
        <v>1</v>
      </c>
      <c r="R32" s="2">
        <v>1</v>
      </c>
      <c r="S32" s="2">
        <v>0</v>
      </c>
      <c r="T32" s="2">
        <v>0</v>
      </c>
      <c r="U32" s="2">
        <v>0</v>
      </c>
      <c r="V32" s="2">
        <v>0</v>
      </c>
      <c r="W32" s="2">
        <v>11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10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10</v>
      </c>
      <c r="AN32" s="2">
        <v>0</v>
      </c>
      <c r="AO32" s="2">
        <v>1</v>
      </c>
      <c r="AP32" s="2">
        <v>1</v>
      </c>
      <c r="AQ32" s="2">
        <v>1</v>
      </c>
      <c r="AR32" s="2">
        <v>1</v>
      </c>
      <c r="AS32" s="2">
        <v>0</v>
      </c>
      <c r="AT32" s="2">
        <v>10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10</v>
      </c>
      <c r="BC32" s="2">
        <v>0</v>
      </c>
      <c r="BD32" s="2">
        <v>0</v>
      </c>
      <c r="BE32" s="2">
        <v>0</v>
      </c>
      <c r="BF32" s="2">
        <v>0</v>
      </c>
      <c r="BG32" s="2">
        <v>10</v>
      </c>
      <c r="BH32" s="2"/>
      <c r="BI32" s="2"/>
      <c r="BJ32" s="2"/>
      <c r="BK32" s="2"/>
      <c r="BL32" s="2"/>
      <c r="BM32" s="2"/>
      <c r="BN32" s="2"/>
      <c r="BO32"/>
      <c r="BP32" s="7" t="str">
        <f>IF(ROW(BP32)&lt;=(VALUE($A$77)+4),_xlfn.TEXTJOIN(",", FALSE, C32:INDEX(32:32, $BO$3+2))&amp;",","")</f>
        <v>10,0,0,0,0,0,11,0,0,11,0,11,1,1,1,1,0,0,0,0,11,0,0,0,0,0,0,10,0,0,0,0,0,0,0,0,10,0,1,1,1,1,0,10,0,0,0,0,0,0,0,10,0,0,0,0,10,</v>
      </c>
    </row>
    <row r="33" spans="1:68">
      <c r="A33" s="18">
        <f t="shared" si="56"/>
        <v>1</v>
      </c>
      <c r="B33" s="18">
        <f t="shared" si="57"/>
        <v>7</v>
      </c>
      <c r="C33" s="2">
        <v>10</v>
      </c>
      <c r="D33" s="2">
        <v>0</v>
      </c>
      <c r="E33" s="2">
        <v>11</v>
      </c>
      <c r="F33" s="2">
        <v>0</v>
      </c>
      <c r="G33" s="2">
        <v>0</v>
      </c>
      <c r="H33" s="2">
        <v>0</v>
      </c>
      <c r="I33" s="2">
        <v>11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1</v>
      </c>
      <c r="P33" s="2">
        <v>1</v>
      </c>
      <c r="Q33" s="2">
        <v>1</v>
      </c>
      <c r="R33" s="2">
        <v>1</v>
      </c>
      <c r="S33" s="2">
        <v>11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11</v>
      </c>
      <c r="AB33" s="2">
        <v>0</v>
      </c>
      <c r="AC33" s="2">
        <v>0</v>
      </c>
      <c r="AD33" s="2">
        <v>10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1</v>
      </c>
      <c r="AP33" s="2">
        <v>1</v>
      </c>
      <c r="AQ33" s="2">
        <v>1</v>
      </c>
      <c r="AR33" s="2">
        <v>1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2">
        <v>0</v>
      </c>
      <c r="BB33" s="2">
        <v>10</v>
      </c>
      <c r="BC33" s="2">
        <v>0</v>
      </c>
      <c r="BD33" s="2">
        <v>0</v>
      </c>
      <c r="BE33" s="2">
        <v>11</v>
      </c>
      <c r="BF33" s="2">
        <v>0</v>
      </c>
      <c r="BG33" s="2">
        <v>10</v>
      </c>
      <c r="BH33" s="2"/>
      <c r="BI33" s="2"/>
      <c r="BJ33" s="2"/>
      <c r="BK33" s="2"/>
      <c r="BL33" s="2"/>
      <c r="BM33" s="2"/>
      <c r="BN33" s="2"/>
      <c r="BO33"/>
      <c r="BP33" s="7" t="str">
        <f>IF(ROW(BP33)&lt;=(VALUE($A$77)+4),_xlfn.TEXTJOIN(",", FALSE, C33:INDEX(33:33, $BO$3+2))&amp;",","")</f>
        <v>10,0,11,0,0,0,11,0,0,0,0,0,1,1,1,1,11,0,0,0,0,0,0,0,11,0,0,10,0,0,0,0,0,0,0,0,0,0,1,1,1,1,0,0,0,0,0,0,0,0,0,10,0,0,11,0,10,</v>
      </c>
    </row>
    <row r="34" spans="1:68">
      <c r="A34" s="18">
        <f t="shared" si="56"/>
        <v>1</v>
      </c>
      <c r="B34" s="18">
        <f t="shared" si="57"/>
        <v>7</v>
      </c>
      <c r="C34" s="2">
        <v>10</v>
      </c>
      <c r="D34" s="2">
        <v>0</v>
      </c>
      <c r="E34" s="2">
        <v>0</v>
      </c>
      <c r="F34" s="2">
        <v>0</v>
      </c>
      <c r="G34" s="2">
        <v>0</v>
      </c>
      <c r="H34" s="2">
        <v>11</v>
      </c>
      <c r="I34" s="2">
        <v>11</v>
      </c>
      <c r="J34" s="2">
        <v>0</v>
      </c>
      <c r="K34" s="2">
        <v>0</v>
      </c>
      <c r="L34" s="2">
        <v>0</v>
      </c>
      <c r="M34" s="2">
        <v>0</v>
      </c>
      <c r="N34" s="2">
        <v>11</v>
      </c>
      <c r="O34" s="2">
        <v>1</v>
      </c>
      <c r="P34" s="2">
        <v>1</v>
      </c>
      <c r="Q34" s="2">
        <v>1</v>
      </c>
      <c r="R34" s="2">
        <v>1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11</v>
      </c>
      <c r="Z34" s="2">
        <v>0</v>
      </c>
      <c r="AA34" s="2">
        <v>0</v>
      </c>
      <c r="AB34" s="2">
        <v>0</v>
      </c>
      <c r="AC34" s="2">
        <v>0</v>
      </c>
      <c r="AD34" s="2">
        <v>10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10</v>
      </c>
      <c r="AN34" s="2">
        <v>0</v>
      </c>
      <c r="AO34" s="2">
        <v>1</v>
      </c>
      <c r="AP34" s="2">
        <v>1</v>
      </c>
      <c r="AQ34" s="2">
        <v>1</v>
      </c>
      <c r="AR34" s="2">
        <v>1</v>
      </c>
      <c r="AS34" s="2">
        <v>0</v>
      </c>
      <c r="AT34" s="2">
        <v>10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10</v>
      </c>
      <c r="BC34" s="2">
        <v>11</v>
      </c>
      <c r="BD34" s="2">
        <v>0</v>
      </c>
      <c r="BE34" s="2">
        <v>0</v>
      </c>
      <c r="BF34" s="2">
        <v>0</v>
      </c>
      <c r="BG34" s="2">
        <v>10</v>
      </c>
      <c r="BH34" s="2"/>
      <c r="BI34" s="2"/>
      <c r="BJ34" s="2"/>
      <c r="BK34" s="2"/>
      <c r="BL34" s="2"/>
      <c r="BM34" s="2"/>
      <c r="BN34" s="2"/>
      <c r="BO34"/>
      <c r="BP34" s="7" t="str">
        <f>IF(ROW(BP34)&lt;=(VALUE($A$77)+4),_xlfn.TEXTJOIN(",", FALSE, C34:INDEX(34:34, $BO$3+2))&amp;",","")</f>
        <v>10,0,0,0,0,11,11,0,0,0,0,11,1,1,1,1,0,0,0,0,0,0,11,0,0,0,0,10,0,0,0,0,0,0,0,0,10,0,1,1,1,1,0,10,0,0,0,0,0,0,0,10,11,0,0,0,10,</v>
      </c>
    </row>
    <row r="35" spans="1:68">
      <c r="A35" s="18">
        <f t="shared" si="56"/>
        <v>1</v>
      </c>
      <c r="B35" s="18">
        <f t="shared" si="57"/>
        <v>7</v>
      </c>
      <c r="C35" s="2">
        <v>10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11</v>
      </c>
      <c r="J35" s="2">
        <v>0</v>
      </c>
      <c r="K35" s="2">
        <v>11</v>
      </c>
      <c r="L35" s="2">
        <v>0</v>
      </c>
      <c r="M35" s="2">
        <v>0</v>
      </c>
      <c r="N35" s="2">
        <v>0</v>
      </c>
      <c r="O35" s="2">
        <v>1</v>
      </c>
      <c r="P35" s="2">
        <v>1</v>
      </c>
      <c r="Q35" s="2">
        <v>1</v>
      </c>
      <c r="R35" s="2">
        <v>1</v>
      </c>
      <c r="S35" s="2">
        <v>0</v>
      </c>
      <c r="T35" s="2">
        <v>0</v>
      </c>
      <c r="U35" s="2">
        <v>0</v>
      </c>
      <c r="V35" s="2">
        <v>11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10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1</v>
      </c>
      <c r="AP35" s="2">
        <v>1</v>
      </c>
      <c r="AQ35" s="2">
        <v>1</v>
      </c>
      <c r="AR35" s="2">
        <v>1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10</v>
      </c>
      <c r="BC35" s="2">
        <v>0</v>
      </c>
      <c r="BD35" s="2">
        <v>0</v>
      </c>
      <c r="BE35" s="2">
        <v>11</v>
      </c>
      <c r="BF35" s="2">
        <v>0</v>
      </c>
      <c r="BG35" s="2">
        <v>10</v>
      </c>
      <c r="BH35" s="2"/>
      <c r="BI35" s="2"/>
      <c r="BJ35" s="2"/>
      <c r="BK35" s="2"/>
      <c r="BL35" s="2"/>
      <c r="BM35" s="2"/>
      <c r="BN35" s="2"/>
      <c r="BO35"/>
      <c r="BP35" s="7" t="str">
        <f>IF(ROW(BP35)&lt;=(VALUE($A$77)+4),_xlfn.TEXTJOIN(",", FALSE, C35:INDEX(35:35, $BO$3+2))&amp;",","")</f>
        <v>10,0,0,0,0,0,11,0,11,0,0,0,1,1,1,1,0,0,0,11,0,0,0,0,0,0,0,10,0,0,0,0,0,0,0,0,0,0,1,1,1,1,0,0,0,0,0,0,0,0,0,10,0,0,11,0,10,</v>
      </c>
    </row>
    <row r="36" spans="1:68">
      <c r="A36" s="18">
        <f t="shared" si="56"/>
        <v>1</v>
      </c>
      <c r="B36" s="18">
        <f t="shared" si="57"/>
        <v>7</v>
      </c>
      <c r="C36" s="2">
        <v>10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11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11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11</v>
      </c>
      <c r="AB36" s="2">
        <v>0</v>
      </c>
      <c r="AC36" s="2">
        <v>0</v>
      </c>
      <c r="AD36" s="2">
        <v>10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10</v>
      </c>
      <c r="AN36" s="2">
        <v>0</v>
      </c>
      <c r="AO36" s="2">
        <v>1</v>
      </c>
      <c r="AP36" s="2">
        <v>1</v>
      </c>
      <c r="AQ36" s="2">
        <v>1</v>
      </c>
      <c r="AR36" s="2">
        <v>1</v>
      </c>
      <c r="AS36" s="2">
        <v>0</v>
      </c>
      <c r="AT36" s="2">
        <v>10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10</v>
      </c>
      <c r="BC36" s="2">
        <v>0</v>
      </c>
      <c r="BD36" s="2">
        <v>0</v>
      </c>
      <c r="BE36" s="2">
        <v>0</v>
      </c>
      <c r="BF36" s="2">
        <v>0</v>
      </c>
      <c r="BG36" s="2">
        <v>10</v>
      </c>
      <c r="BH36" s="2"/>
      <c r="BI36" s="2"/>
      <c r="BJ36" s="2"/>
      <c r="BK36" s="2"/>
      <c r="BL36" s="2"/>
      <c r="BM36" s="2"/>
      <c r="BN36" s="2"/>
      <c r="BO36"/>
      <c r="BP36" s="7" t="str">
        <f>IF(ROW(BP36)&lt;=(VALUE($A$77)+4),_xlfn.TEXTJOIN(",", FALSE, C36:INDEX(36:36, $BO$3+2))&amp;",","")</f>
        <v>10,0,0,0,0,0,11,0,0,0,0,0,1,1,1,1,0,11,0,0,0,0,0,0,11,0,0,10,0,0,0,0,0,0,0,0,10,0,1,1,1,1,0,10,0,0,0,0,0,0,0,10,0,0,0,0,10,</v>
      </c>
    </row>
    <row r="37" spans="1:68">
      <c r="A37" s="18">
        <f t="shared" si="56"/>
        <v>1</v>
      </c>
      <c r="B37" s="18">
        <f t="shared" si="57"/>
        <v>7</v>
      </c>
      <c r="C37" s="2">
        <v>10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11</v>
      </c>
      <c r="J37" s="2">
        <v>11</v>
      </c>
      <c r="K37" s="2">
        <v>11</v>
      </c>
      <c r="L37" s="2">
        <v>11</v>
      </c>
      <c r="M37" s="2">
        <v>11</v>
      </c>
      <c r="N37" s="2">
        <v>11</v>
      </c>
      <c r="O37" s="2">
        <v>1</v>
      </c>
      <c r="P37" s="2">
        <v>1</v>
      </c>
      <c r="Q37" s="2">
        <v>1</v>
      </c>
      <c r="R37" s="2">
        <v>1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10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1</v>
      </c>
      <c r="AP37" s="2">
        <v>1</v>
      </c>
      <c r="AQ37" s="2">
        <v>1</v>
      </c>
      <c r="AR37" s="2">
        <v>1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10</v>
      </c>
      <c r="BC37" s="2">
        <v>0</v>
      </c>
      <c r="BD37" s="2">
        <v>11</v>
      </c>
      <c r="BE37" s="2">
        <v>0</v>
      </c>
      <c r="BF37" s="2">
        <v>11</v>
      </c>
      <c r="BG37" s="2">
        <v>10</v>
      </c>
      <c r="BH37" s="2"/>
      <c r="BI37" s="2"/>
      <c r="BJ37" s="2"/>
      <c r="BK37" s="2"/>
      <c r="BL37" s="2"/>
      <c r="BM37" s="2"/>
      <c r="BN37" s="2"/>
      <c r="BO37"/>
      <c r="BP37" s="7" t="str">
        <f>IF(ROW(BP37)&lt;=(VALUE($A$77)+4),_xlfn.TEXTJOIN(",", FALSE, C37:INDEX(37:37, $BO$3+2))&amp;",","")</f>
        <v>10,0,0,0,0,0,11,11,11,11,11,11,1,1,1,1,0,0,0,0,0,0,0,0,0,0,0,10,0,0,0,0,0,0,0,0,0,0,1,1,1,1,0,0,0,0,0,0,0,0,0,10,0,11,0,11,10,</v>
      </c>
    </row>
    <row r="38" spans="1:68">
      <c r="A38" s="18">
        <f t="shared" si="56"/>
        <v>1</v>
      </c>
      <c r="B38" s="18">
        <f t="shared" si="57"/>
        <v>7</v>
      </c>
      <c r="C38" s="2">
        <v>10</v>
      </c>
      <c r="D38" s="2">
        <v>0</v>
      </c>
      <c r="E38" s="2">
        <v>0</v>
      </c>
      <c r="F38" s="2">
        <v>11</v>
      </c>
      <c r="G38" s="2">
        <v>0</v>
      </c>
      <c r="H38" s="2">
        <v>0</v>
      </c>
      <c r="I38" s="2">
        <v>11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1</v>
      </c>
      <c r="P38" s="2">
        <v>1</v>
      </c>
      <c r="Q38" s="2">
        <v>1</v>
      </c>
      <c r="R38" s="2">
        <v>1</v>
      </c>
      <c r="S38" s="2">
        <v>0</v>
      </c>
      <c r="T38" s="2">
        <v>0</v>
      </c>
      <c r="U38" s="2">
        <v>0</v>
      </c>
      <c r="V38" s="2">
        <v>11</v>
      </c>
      <c r="W38" s="2">
        <v>0</v>
      </c>
      <c r="X38" s="2">
        <v>0</v>
      </c>
      <c r="Y38" s="2">
        <v>11</v>
      </c>
      <c r="Z38" s="2">
        <v>0</v>
      </c>
      <c r="AA38" s="2">
        <v>0</v>
      </c>
      <c r="AB38" s="2">
        <v>11</v>
      </c>
      <c r="AC38" s="2">
        <v>0</v>
      </c>
      <c r="AD38" s="2">
        <v>10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1</v>
      </c>
      <c r="AP38" s="2">
        <v>1</v>
      </c>
      <c r="AQ38" s="2">
        <v>1</v>
      </c>
      <c r="AR38" s="2">
        <v>1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10</v>
      </c>
      <c r="BC38" s="2">
        <v>0</v>
      </c>
      <c r="BD38" s="2">
        <v>0</v>
      </c>
      <c r="BE38" s="2">
        <v>0</v>
      </c>
      <c r="BF38" s="2">
        <v>0</v>
      </c>
      <c r="BG38" s="2">
        <v>10</v>
      </c>
      <c r="BH38" s="2"/>
      <c r="BI38" s="2"/>
      <c r="BJ38" s="2"/>
      <c r="BK38" s="2"/>
      <c r="BL38" s="2"/>
      <c r="BM38" s="2"/>
      <c r="BN38" s="2"/>
      <c r="BO38"/>
      <c r="BP38" s="7" t="str">
        <f>IF(ROW(BP38)&lt;=(VALUE($A$77)+4),_xlfn.TEXTJOIN(",", FALSE, C38:INDEX(38:38, $BO$3+2))&amp;",","")</f>
        <v>10,0,0,11,0,0,11,0,0,0,0,0,1,1,1,1,0,0,0,11,0,0,11,0,0,11,0,10,0,0,0,0,0,0,0,0,0,0,1,1,1,1,0,0,0,0,0,0,0,0,0,10,0,0,0,0,10,</v>
      </c>
    </row>
    <row r="39" spans="1:68">
      <c r="A39" s="18">
        <f t="shared" si="56"/>
        <v>1</v>
      </c>
      <c r="B39" s="18">
        <f t="shared" si="57"/>
        <v>7</v>
      </c>
      <c r="C39" s="2">
        <v>10</v>
      </c>
      <c r="D39" s="2">
        <v>0</v>
      </c>
      <c r="E39" s="2">
        <v>11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11</v>
      </c>
      <c r="N39" s="2">
        <v>0</v>
      </c>
      <c r="O39" s="2">
        <v>1</v>
      </c>
      <c r="P39" s="2">
        <v>1</v>
      </c>
      <c r="Q39" s="2">
        <v>30</v>
      </c>
      <c r="R39" s="2">
        <v>1</v>
      </c>
      <c r="S39" s="2">
        <v>11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2">
        <v>11</v>
      </c>
      <c r="Z39" s="2">
        <v>0</v>
      </c>
      <c r="AA39" s="2">
        <v>0</v>
      </c>
      <c r="AB39" s="2">
        <v>0</v>
      </c>
      <c r="AC39" s="2">
        <v>0</v>
      </c>
      <c r="AD39" s="2">
        <v>11</v>
      </c>
      <c r="AE39" s="2">
        <v>11</v>
      </c>
      <c r="AF39" s="2">
        <v>11</v>
      </c>
      <c r="AG39" s="2">
        <v>11</v>
      </c>
      <c r="AH39" s="2">
        <v>11</v>
      </c>
      <c r="AI39" s="2">
        <v>11</v>
      </c>
      <c r="AJ39" s="2">
        <v>11</v>
      </c>
      <c r="AK39" s="2">
        <v>11</v>
      </c>
      <c r="AL39" s="2">
        <v>11</v>
      </c>
      <c r="AM39" s="2">
        <v>11</v>
      </c>
      <c r="AN39" s="2">
        <v>0</v>
      </c>
      <c r="AO39" s="2">
        <v>1</v>
      </c>
      <c r="AP39" s="2">
        <v>1</v>
      </c>
      <c r="AQ39" s="2">
        <v>1</v>
      </c>
      <c r="AR39" s="2">
        <v>1</v>
      </c>
      <c r="AS39" s="2">
        <v>0</v>
      </c>
      <c r="AT39" s="2">
        <v>11</v>
      </c>
      <c r="AU39" s="2">
        <v>11</v>
      </c>
      <c r="AV39" s="2">
        <v>11</v>
      </c>
      <c r="AW39" s="2">
        <v>11</v>
      </c>
      <c r="AX39" s="2">
        <v>11</v>
      </c>
      <c r="AY39" s="2">
        <v>11</v>
      </c>
      <c r="AZ39" s="2">
        <v>11</v>
      </c>
      <c r="BA39" s="2">
        <v>11</v>
      </c>
      <c r="BB39" s="2">
        <v>11</v>
      </c>
      <c r="BC39" s="2">
        <v>11</v>
      </c>
      <c r="BD39" s="2">
        <v>0</v>
      </c>
      <c r="BE39" s="2">
        <v>0</v>
      </c>
      <c r="BF39" s="2">
        <v>0</v>
      </c>
      <c r="BG39" s="2">
        <v>10</v>
      </c>
      <c r="BH39" s="2"/>
      <c r="BI39" s="2"/>
      <c r="BJ39" s="2"/>
      <c r="BK39" s="2"/>
      <c r="BL39" s="2"/>
      <c r="BM39" s="2"/>
      <c r="BN39" s="2"/>
      <c r="BO39"/>
      <c r="BP39" s="7" t="str">
        <f>IF(ROW(BP39)&lt;=(VALUE($A$77)+4),_xlfn.TEXTJOIN(",", FALSE, C39:INDEX(39:39, $BO$3+2))&amp;",","")</f>
        <v>10,0,11,0,0,0,0,0,0,0,11,0,1,1,30,1,11,0,0,0,0,0,11,0,0,0,0,11,11,11,11,11,11,11,11,11,11,0,1,1,1,1,0,11,11,11,11,11,11,11,11,11,11,0,0,0,10,</v>
      </c>
    </row>
    <row r="40" spans="1:68">
      <c r="A40" s="18">
        <f t="shared" si="56"/>
        <v>1</v>
      </c>
      <c r="B40" s="18">
        <f t="shared" si="57"/>
        <v>7</v>
      </c>
      <c r="C40" s="2">
        <v>10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1</v>
      </c>
      <c r="P40" s="2">
        <v>1</v>
      </c>
      <c r="Q40" s="2">
        <v>1</v>
      </c>
      <c r="R40" s="2">
        <v>1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11</v>
      </c>
      <c r="AE40" s="2">
        <v>11</v>
      </c>
      <c r="AF40" s="2">
        <v>11</v>
      </c>
      <c r="AG40" s="2">
        <v>11</v>
      </c>
      <c r="AH40" s="2">
        <v>11</v>
      </c>
      <c r="AI40" s="2">
        <v>11</v>
      </c>
      <c r="AJ40" s="2">
        <v>11</v>
      </c>
      <c r="AK40" s="2">
        <v>11</v>
      </c>
      <c r="AL40" s="2">
        <v>11</v>
      </c>
      <c r="AM40" s="2">
        <v>11</v>
      </c>
      <c r="AN40" s="2">
        <v>0</v>
      </c>
      <c r="AO40" s="2">
        <v>1</v>
      </c>
      <c r="AP40" s="2">
        <v>1</v>
      </c>
      <c r="AQ40" s="2">
        <v>1</v>
      </c>
      <c r="AR40" s="2">
        <v>1</v>
      </c>
      <c r="AS40" s="2">
        <v>0</v>
      </c>
      <c r="AT40" s="2">
        <v>11</v>
      </c>
      <c r="AU40" s="2">
        <v>11</v>
      </c>
      <c r="AV40" s="2">
        <v>11</v>
      </c>
      <c r="AW40" s="2">
        <v>11</v>
      </c>
      <c r="AX40" s="2">
        <v>11</v>
      </c>
      <c r="AY40" s="2">
        <v>11</v>
      </c>
      <c r="AZ40" s="2">
        <v>11</v>
      </c>
      <c r="BA40" s="2">
        <v>11</v>
      </c>
      <c r="BB40" s="2">
        <v>11</v>
      </c>
      <c r="BC40" s="2">
        <v>0</v>
      </c>
      <c r="BD40" s="2">
        <v>0</v>
      </c>
      <c r="BE40" s="2">
        <v>0</v>
      </c>
      <c r="BF40" s="2">
        <v>0</v>
      </c>
      <c r="BG40" s="2">
        <v>10</v>
      </c>
      <c r="BH40" s="2"/>
      <c r="BI40" s="2"/>
      <c r="BJ40" s="2"/>
      <c r="BK40" s="2"/>
      <c r="BL40" s="2"/>
      <c r="BM40" s="2"/>
      <c r="BN40" s="2"/>
      <c r="BO40"/>
      <c r="BP40" s="7" t="str">
        <f>IF(ROW(BP40)&lt;=(VALUE($A$77)+4),_xlfn.TEXTJOIN(",", FALSE, C40:INDEX(40:40, $BO$3+2))&amp;",","")</f>
        <v>10,0,0,0,0,0,0,0,0,0,0,0,1,1,1,1,0,0,0,0,0,0,0,0,0,0,0,11,11,11,11,11,11,11,11,11,11,0,1,1,1,1,0,11,11,11,11,11,11,11,11,11,0,0,0,0,10,</v>
      </c>
    </row>
    <row r="41" spans="1:68">
      <c r="A41" s="18">
        <f t="shared" si="56"/>
        <v>1</v>
      </c>
      <c r="B41" s="18">
        <f t="shared" si="57"/>
        <v>7</v>
      </c>
      <c r="C41" s="2">
        <v>10</v>
      </c>
      <c r="D41" s="2">
        <v>0</v>
      </c>
      <c r="E41" s="2">
        <v>0</v>
      </c>
      <c r="F41" s="2">
        <v>0</v>
      </c>
      <c r="G41" s="2">
        <v>0</v>
      </c>
      <c r="H41" s="2">
        <v>11</v>
      </c>
      <c r="I41" s="2">
        <v>0</v>
      </c>
      <c r="J41" s="2">
        <v>0</v>
      </c>
      <c r="K41" s="2">
        <v>11</v>
      </c>
      <c r="L41" s="2">
        <v>0</v>
      </c>
      <c r="M41" s="2">
        <v>0</v>
      </c>
      <c r="N41" s="2">
        <v>0</v>
      </c>
      <c r="O41" s="2">
        <v>1</v>
      </c>
      <c r="P41" s="2">
        <v>1</v>
      </c>
      <c r="Q41" s="2">
        <v>1</v>
      </c>
      <c r="R41" s="2">
        <v>1</v>
      </c>
      <c r="S41" s="2">
        <v>0</v>
      </c>
      <c r="T41" s="2">
        <v>0</v>
      </c>
      <c r="U41" s="2">
        <v>11</v>
      </c>
      <c r="V41" s="2">
        <v>0</v>
      </c>
      <c r="W41" s="2">
        <v>0</v>
      </c>
      <c r="X41" s="2">
        <v>0</v>
      </c>
      <c r="Y41" s="2">
        <v>11</v>
      </c>
      <c r="Z41" s="2">
        <v>0</v>
      </c>
      <c r="AA41" s="2">
        <v>11</v>
      </c>
      <c r="AB41" s="2">
        <v>0</v>
      </c>
      <c r="AC41" s="2">
        <v>0</v>
      </c>
      <c r="AD41" s="2">
        <v>11</v>
      </c>
      <c r="AE41" s="2">
        <v>0</v>
      </c>
      <c r="AF41" s="2">
        <v>11</v>
      </c>
      <c r="AG41" s="2">
        <v>11</v>
      </c>
      <c r="AH41" s="2">
        <v>11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  <c r="BA41" s="2">
        <v>11</v>
      </c>
      <c r="BB41" s="2">
        <v>11</v>
      </c>
      <c r="BC41" s="2">
        <v>0</v>
      </c>
      <c r="BD41" s="2">
        <v>0</v>
      </c>
      <c r="BE41" s="2">
        <v>0</v>
      </c>
      <c r="BF41" s="2">
        <v>0</v>
      </c>
      <c r="BG41" s="2">
        <v>10</v>
      </c>
      <c r="BH41" s="2"/>
      <c r="BI41" s="2"/>
      <c r="BJ41" s="2"/>
      <c r="BK41" s="2"/>
      <c r="BL41" s="2"/>
      <c r="BM41" s="2"/>
      <c r="BN41" s="2"/>
      <c r="BO41"/>
      <c r="BP41" s="7" t="str">
        <f>IF(ROW(BP41)&lt;=(VALUE($A$77)+4),_xlfn.TEXTJOIN(",", FALSE, C41:INDEX(41:41, $BO$3+2))&amp;",","")</f>
        <v>10,0,0,0,0,11,0,0,11,0,0,0,1,1,1,1,0,0,11,0,0,0,11,0,11,0,0,11,0,11,11,11,0,0,0,0,0,0,0,0,0,0,0,0,0,0,0,0,0,0,11,11,0,0,0,0,10,</v>
      </c>
    </row>
    <row r="42" spans="1:68">
      <c r="A42" s="18">
        <f t="shared" si="56"/>
        <v>1</v>
      </c>
      <c r="B42" s="18">
        <f t="shared" si="57"/>
        <v>7</v>
      </c>
      <c r="C42" s="2">
        <v>10</v>
      </c>
      <c r="D42" s="2">
        <v>0</v>
      </c>
      <c r="E42" s="2">
        <v>0</v>
      </c>
      <c r="F42" s="2">
        <v>11</v>
      </c>
      <c r="G42" s="2">
        <v>0</v>
      </c>
      <c r="H42" s="2">
        <v>0</v>
      </c>
      <c r="I42" s="2">
        <v>11</v>
      </c>
      <c r="J42" s="2">
        <v>0</v>
      </c>
      <c r="K42" s="2">
        <v>0</v>
      </c>
      <c r="L42" s="2">
        <v>0</v>
      </c>
      <c r="M42" s="2">
        <v>0</v>
      </c>
      <c r="N42" s="2">
        <v>11</v>
      </c>
      <c r="O42" s="2">
        <v>1</v>
      </c>
      <c r="P42" s="2">
        <v>1</v>
      </c>
      <c r="Q42" s="2">
        <v>1</v>
      </c>
      <c r="R42" s="2">
        <v>1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11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11</v>
      </c>
      <c r="AE42" s="2">
        <v>0</v>
      </c>
      <c r="AF42" s="2">
        <v>0</v>
      </c>
      <c r="AG42" s="2">
        <v>11</v>
      </c>
      <c r="AH42" s="2">
        <v>11</v>
      </c>
      <c r="AI42" s="2">
        <v>0</v>
      </c>
      <c r="AJ42" s="2">
        <v>0</v>
      </c>
      <c r="AK42" s="2">
        <v>0</v>
      </c>
      <c r="AL42" s="2">
        <v>11</v>
      </c>
      <c r="AM42" s="2">
        <v>0</v>
      </c>
      <c r="AN42" s="2">
        <v>11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  <c r="AT42" s="2">
        <v>11</v>
      </c>
      <c r="AU42" s="2">
        <v>11</v>
      </c>
      <c r="AV42" s="2">
        <v>0</v>
      </c>
      <c r="AW42" s="2">
        <v>0</v>
      </c>
      <c r="AX42" s="2">
        <v>11</v>
      </c>
      <c r="AY42" s="2">
        <v>0</v>
      </c>
      <c r="AZ42" s="2">
        <v>0</v>
      </c>
      <c r="BA42" s="2">
        <v>11</v>
      </c>
      <c r="BB42" s="2">
        <v>11</v>
      </c>
      <c r="BC42" s="2">
        <v>0</v>
      </c>
      <c r="BD42" s="2">
        <v>0</v>
      </c>
      <c r="BE42" s="2">
        <v>0</v>
      </c>
      <c r="BF42" s="2">
        <v>0</v>
      </c>
      <c r="BG42" s="2">
        <v>10</v>
      </c>
      <c r="BH42" s="2"/>
      <c r="BI42" s="2"/>
      <c r="BJ42" s="2"/>
      <c r="BK42" s="2"/>
      <c r="BL42" s="2"/>
      <c r="BM42" s="2"/>
      <c r="BN42" s="2"/>
      <c r="BO42"/>
      <c r="BP42" s="7" t="str">
        <f>IF(ROW(BP42)&lt;=(VALUE($A$77)+4),_xlfn.TEXTJOIN(",", FALSE, C42:INDEX(42:42, $BO$3+2))&amp;",","")</f>
        <v>10,0,0,11,0,0,11,0,0,0,0,11,1,1,1,1,0,0,0,0,0,11,0,0,0,0,0,11,0,0,11,11,0,0,0,11,0,11,0,0,0,0,0,11,11,0,0,11,0,0,11,11,0,0,0,0,10,</v>
      </c>
    </row>
    <row r="43" spans="1:68">
      <c r="A43" s="18">
        <f t="shared" si="56"/>
        <v>1</v>
      </c>
      <c r="B43" s="18">
        <f t="shared" si="57"/>
        <v>7</v>
      </c>
      <c r="C43" s="2">
        <v>10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11</v>
      </c>
      <c r="N43" s="2">
        <v>0</v>
      </c>
      <c r="O43" s="2">
        <v>1</v>
      </c>
      <c r="P43" s="2">
        <v>1</v>
      </c>
      <c r="Q43" s="2">
        <v>1</v>
      </c>
      <c r="R43" s="2">
        <v>1</v>
      </c>
      <c r="S43" s="2">
        <v>0</v>
      </c>
      <c r="T43" s="2">
        <v>11</v>
      </c>
      <c r="U43" s="2">
        <v>0</v>
      </c>
      <c r="V43" s="2">
        <v>0</v>
      </c>
      <c r="W43" s="2">
        <v>0</v>
      </c>
      <c r="X43" s="2">
        <v>11</v>
      </c>
      <c r="Y43" s="2">
        <v>0</v>
      </c>
      <c r="Z43" s="2">
        <v>0</v>
      </c>
      <c r="AA43" s="2">
        <v>11</v>
      </c>
      <c r="AB43" s="2">
        <v>0</v>
      </c>
      <c r="AC43" s="2">
        <v>0</v>
      </c>
      <c r="AD43" s="2">
        <v>11</v>
      </c>
      <c r="AE43" s="2">
        <v>0</v>
      </c>
      <c r="AF43" s="2">
        <v>11</v>
      </c>
      <c r="AG43" s="2">
        <v>11</v>
      </c>
      <c r="AH43" s="2">
        <v>11</v>
      </c>
      <c r="AI43" s="2">
        <v>0</v>
      </c>
      <c r="AJ43" s="2">
        <v>11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11</v>
      </c>
      <c r="AW43" s="2">
        <v>0</v>
      </c>
      <c r="AX43" s="2">
        <v>11</v>
      </c>
      <c r="AY43" s="2">
        <v>11</v>
      </c>
      <c r="AZ43" s="2">
        <v>0</v>
      </c>
      <c r="BA43" s="2">
        <v>11</v>
      </c>
      <c r="BB43" s="2">
        <v>11</v>
      </c>
      <c r="BC43" s="2">
        <v>0</v>
      </c>
      <c r="BD43" s="2">
        <v>0</v>
      </c>
      <c r="BE43" s="2">
        <v>0</v>
      </c>
      <c r="BF43" s="2">
        <v>0</v>
      </c>
      <c r="BG43" s="2">
        <v>10</v>
      </c>
      <c r="BH43" s="2"/>
      <c r="BI43" s="2"/>
      <c r="BJ43" s="2"/>
      <c r="BK43" s="2"/>
      <c r="BL43" s="2"/>
      <c r="BM43" s="2"/>
      <c r="BN43" s="2"/>
      <c r="BO43"/>
      <c r="BP43" s="7" t="str">
        <f>IF(ROW(BP43)&lt;=(VALUE($A$77)+4),_xlfn.TEXTJOIN(",", FALSE, C43:INDEX(43:43, $BO$3+2))&amp;",","")</f>
        <v>10,0,0,0,0,0,0,0,0,0,11,0,1,1,1,1,0,11,0,0,0,11,0,0,11,0,0,11,0,11,11,11,0,11,0,0,0,0,0,0,0,0,0,0,0,11,0,11,11,0,11,11,0,0,0,0,10,</v>
      </c>
    </row>
    <row r="44" spans="1:68">
      <c r="A44" s="18">
        <f t="shared" si="56"/>
        <v>1</v>
      </c>
      <c r="B44" s="18">
        <f t="shared" si="57"/>
        <v>7</v>
      </c>
      <c r="C44" s="2">
        <v>10</v>
      </c>
      <c r="D44" s="2">
        <v>0</v>
      </c>
      <c r="E44" s="2">
        <v>11</v>
      </c>
      <c r="F44" s="2">
        <v>0</v>
      </c>
      <c r="G44" s="2">
        <v>0</v>
      </c>
      <c r="H44" s="2">
        <v>0</v>
      </c>
      <c r="I44" s="2">
        <v>11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1</v>
      </c>
      <c r="P44" s="2">
        <v>1</v>
      </c>
      <c r="Q44" s="2">
        <v>1</v>
      </c>
      <c r="R44" s="2">
        <v>1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11</v>
      </c>
      <c r="AE44" s="2">
        <v>0</v>
      </c>
      <c r="AF44" s="2">
        <v>0</v>
      </c>
      <c r="AG44" s="2">
        <v>11</v>
      </c>
      <c r="AH44" s="2">
        <v>11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11</v>
      </c>
      <c r="AW44" s="2">
        <v>0</v>
      </c>
      <c r="AX44" s="2">
        <v>0</v>
      </c>
      <c r="AY44" s="2">
        <v>0</v>
      </c>
      <c r="AZ44" s="2">
        <v>0</v>
      </c>
      <c r="BA44" s="2">
        <v>11</v>
      </c>
      <c r="BB44" s="2">
        <v>11</v>
      </c>
      <c r="BC44" s="2">
        <v>0</v>
      </c>
      <c r="BD44" s="2">
        <v>0</v>
      </c>
      <c r="BE44" s="2">
        <v>0</v>
      </c>
      <c r="BF44" s="2">
        <v>0</v>
      </c>
      <c r="BG44" s="2">
        <v>10</v>
      </c>
      <c r="BH44" s="2"/>
      <c r="BI44" s="2"/>
      <c r="BJ44" s="2"/>
      <c r="BK44" s="2"/>
      <c r="BL44" s="2"/>
      <c r="BM44" s="2"/>
      <c r="BN44" s="2"/>
      <c r="BO44"/>
      <c r="BP44" s="7" t="str">
        <f>IF(ROW(BP44)&lt;=(VALUE($A$77)+4),_xlfn.TEXTJOIN(",", FALSE, C44:INDEX(44:44, $BO$3+2))&amp;",","")</f>
        <v>10,0,11,0,0,0,11,0,0,0,0,0,1,1,1,1,0,0,0,0,0,0,0,0,0,0,0,11,0,0,11,11,0,0,0,0,0,0,0,0,0,0,0,0,0,11,0,0,0,0,11,11,0,0,0,0,10,</v>
      </c>
    </row>
    <row r="45" spans="1:68">
      <c r="A45" s="18">
        <f t="shared" si="56"/>
        <v>1</v>
      </c>
      <c r="B45" s="18">
        <f t="shared" si="57"/>
        <v>7</v>
      </c>
      <c r="C45" s="2">
        <v>10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1</v>
      </c>
      <c r="P45" s="2">
        <v>1</v>
      </c>
      <c r="Q45" s="2">
        <v>1</v>
      </c>
      <c r="R45" s="2">
        <v>1</v>
      </c>
      <c r="S45" s="2">
        <v>0</v>
      </c>
      <c r="T45" s="2">
        <v>0</v>
      </c>
      <c r="U45" s="2">
        <v>0</v>
      </c>
      <c r="V45" s="2">
        <v>11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11</v>
      </c>
      <c r="AE45" s="2">
        <v>0</v>
      </c>
      <c r="AF45" s="2">
        <v>0</v>
      </c>
      <c r="AG45" s="2">
        <v>11</v>
      </c>
      <c r="AH45" s="2">
        <v>11</v>
      </c>
      <c r="AI45" s="2">
        <v>0</v>
      </c>
      <c r="AJ45" s="2">
        <v>11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30</v>
      </c>
      <c r="AQ45" s="2">
        <v>0</v>
      </c>
      <c r="AR45" s="2">
        <v>0</v>
      </c>
      <c r="AS45" s="2">
        <v>30</v>
      </c>
      <c r="AT45" s="2">
        <v>0</v>
      </c>
      <c r="AU45" s="2">
        <v>0</v>
      </c>
      <c r="AV45" s="2">
        <v>0</v>
      </c>
      <c r="AW45" s="2">
        <v>0</v>
      </c>
      <c r="AX45" s="2">
        <v>11</v>
      </c>
      <c r="AY45" s="2">
        <v>0</v>
      </c>
      <c r="AZ45" s="2">
        <v>0</v>
      </c>
      <c r="BA45" s="2">
        <v>11</v>
      </c>
      <c r="BB45" s="2">
        <v>11</v>
      </c>
      <c r="BC45" s="2">
        <v>0</v>
      </c>
      <c r="BD45" s="2">
        <v>0</v>
      </c>
      <c r="BE45" s="2">
        <v>0</v>
      </c>
      <c r="BF45" s="2">
        <v>0</v>
      </c>
      <c r="BG45" s="2">
        <v>10</v>
      </c>
      <c r="BH45" s="2"/>
      <c r="BI45" s="2"/>
      <c r="BJ45" s="2"/>
      <c r="BK45" s="2"/>
      <c r="BL45" s="2"/>
      <c r="BM45" s="2"/>
      <c r="BN45" s="2"/>
      <c r="BO45"/>
      <c r="BP45" s="7" t="str">
        <f>IF(ROW(BP45)&lt;=(VALUE($A$77)+4),_xlfn.TEXTJOIN(",", FALSE, C45:INDEX(45:45, $BO$3+2))&amp;",","")</f>
        <v>10,0,0,0,0,0,0,0,0,0,0,0,1,1,1,1,0,0,0,11,0,0,0,0,0,0,0,11,0,0,11,11,0,11,0,0,0,0,0,30,0,0,30,0,0,0,0,11,0,0,11,11,0,0,0,0,10,</v>
      </c>
    </row>
    <row r="46" spans="1:68">
      <c r="A46" s="18">
        <f t="shared" si="56"/>
        <v>1</v>
      </c>
      <c r="B46" s="18">
        <f t="shared" si="57"/>
        <v>7</v>
      </c>
      <c r="C46" s="2">
        <v>10</v>
      </c>
      <c r="D46" s="2">
        <v>11</v>
      </c>
      <c r="E46" s="2">
        <v>0</v>
      </c>
      <c r="F46" s="2">
        <v>0</v>
      </c>
      <c r="G46" s="2">
        <v>0</v>
      </c>
      <c r="H46" s="2">
        <v>11</v>
      </c>
      <c r="I46" s="2">
        <v>0</v>
      </c>
      <c r="J46" s="2">
        <v>0</v>
      </c>
      <c r="K46" s="2">
        <v>0</v>
      </c>
      <c r="L46" s="2">
        <v>11</v>
      </c>
      <c r="M46" s="2">
        <v>0</v>
      </c>
      <c r="N46" s="2">
        <v>0</v>
      </c>
      <c r="O46" s="2">
        <v>1</v>
      </c>
      <c r="P46" s="2">
        <v>1</v>
      </c>
      <c r="Q46" s="2">
        <v>1</v>
      </c>
      <c r="R46" s="2">
        <v>1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11</v>
      </c>
      <c r="Y46" s="2">
        <v>0</v>
      </c>
      <c r="Z46" s="2">
        <v>0</v>
      </c>
      <c r="AA46" s="2">
        <v>11</v>
      </c>
      <c r="AB46" s="2">
        <v>0</v>
      </c>
      <c r="AC46" s="2">
        <v>0</v>
      </c>
      <c r="AD46" s="2">
        <v>11</v>
      </c>
      <c r="AE46" s="2">
        <v>0</v>
      </c>
      <c r="AF46" s="2">
        <v>0</v>
      </c>
      <c r="AG46" s="2">
        <v>11</v>
      </c>
      <c r="AH46" s="2">
        <v>11</v>
      </c>
      <c r="AI46" s="2">
        <v>0</v>
      </c>
      <c r="AJ46" s="2">
        <v>0</v>
      </c>
      <c r="AK46" s="2">
        <v>0</v>
      </c>
      <c r="AL46" s="2">
        <v>11</v>
      </c>
      <c r="AM46" s="2">
        <v>0</v>
      </c>
      <c r="AN46" s="2">
        <v>0</v>
      </c>
      <c r="AO46" s="2">
        <v>0</v>
      </c>
      <c r="AP46" s="2">
        <v>0</v>
      </c>
      <c r="AQ46" s="2">
        <v>0</v>
      </c>
      <c r="AR46" s="2">
        <v>0</v>
      </c>
      <c r="AS46" s="2">
        <v>0</v>
      </c>
      <c r="AT46" s="2">
        <v>0</v>
      </c>
      <c r="AU46" s="2">
        <v>0</v>
      </c>
      <c r="AV46" s="2">
        <v>0</v>
      </c>
      <c r="AW46" s="2">
        <v>0</v>
      </c>
      <c r="AX46" s="2">
        <v>0</v>
      </c>
      <c r="AY46" s="2">
        <v>11</v>
      </c>
      <c r="AZ46" s="2">
        <v>0</v>
      </c>
      <c r="BA46" s="2">
        <v>11</v>
      </c>
      <c r="BB46" s="2">
        <v>11</v>
      </c>
      <c r="BC46" s="2">
        <v>0</v>
      </c>
      <c r="BD46" s="2">
        <v>0</v>
      </c>
      <c r="BE46" s="2">
        <v>0</v>
      </c>
      <c r="BF46" s="2">
        <v>0</v>
      </c>
      <c r="BG46" s="2">
        <v>10</v>
      </c>
      <c r="BH46" s="2"/>
      <c r="BI46" s="2"/>
      <c r="BJ46" s="2"/>
      <c r="BK46" s="2"/>
      <c r="BL46" s="2"/>
      <c r="BM46" s="2"/>
      <c r="BN46" s="2"/>
      <c r="BO46"/>
      <c r="BP46" s="7" t="str">
        <f>IF(ROW(BP46)&lt;=(VALUE($A$77)+4),_xlfn.TEXTJOIN(",", FALSE, C46:INDEX(46:46, $BO$3+2))&amp;",","")</f>
        <v>10,11,0,0,0,11,0,0,0,11,0,0,1,1,1,1,0,0,0,0,0,11,0,0,11,0,0,11,0,0,11,11,0,0,0,11,0,0,0,0,0,0,0,0,0,0,0,0,11,0,11,11,0,0,0,0,10,</v>
      </c>
    </row>
    <row r="47" spans="1:68">
      <c r="A47" s="18">
        <f t="shared" si="56"/>
        <v>1</v>
      </c>
      <c r="B47" s="18">
        <f t="shared" si="57"/>
        <v>7</v>
      </c>
      <c r="C47" s="2">
        <v>10</v>
      </c>
      <c r="D47" s="2">
        <v>0</v>
      </c>
      <c r="E47" s="2">
        <v>0</v>
      </c>
      <c r="F47" s="2">
        <v>11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1</v>
      </c>
      <c r="P47" s="2">
        <v>1</v>
      </c>
      <c r="Q47" s="2">
        <v>1</v>
      </c>
      <c r="R47" s="2">
        <v>1</v>
      </c>
      <c r="S47" s="2">
        <v>0</v>
      </c>
      <c r="T47" s="2">
        <v>11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11</v>
      </c>
      <c r="AC47" s="2">
        <v>0</v>
      </c>
      <c r="AD47" s="2">
        <v>11</v>
      </c>
      <c r="AE47" s="2">
        <v>0</v>
      </c>
      <c r="AF47" s="2">
        <v>0</v>
      </c>
      <c r="AG47" s="2">
        <v>11</v>
      </c>
      <c r="AH47" s="2">
        <v>11</v>
      </c>
      <c r="AI47" s="2">
        <v>0</v>
      </c>
      <c r="AJ47" s="2">
        <v>11</v>
      </c>
      <c r="AK47" s="2">
        <v>0</v>
      </c>
      <c r="AL47" s="2">
        <v>11</v>
      </c>
      <c r="AM47" s="2">
        <v>0</v>
      </c>
      <c r="AN47" s="2">
        <v>0</v>
      </c>
      <c r="AO47" s="2">
        <v>0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2">
        <v>11</v>
      </c>
      <c r="BB47" s="2">
        <v>11</v>
      </c>
      <c r="BC47" s="2">
        <v>0</v>
      </c>
      <c r="BD47" s="2">
        <v>0</v>
      </c>
      <c r="BE47" s="2">
        <v>0</v>
      </c>
      <c r="BF47" s="2">
        <v>0</v>
      </c>
      <c r="BG47" s="2">
        <v>10</v>
      </c>
      <c r="BH47" s="2"/>
      <c r="BI47" s="2"/>
      <c r="BJ47" s="2"/>
      <c r="BK47" s="2"/>
      <c r="BL47" s="2"/>
      <c r="BM47" s="2"/>
      <c r="BN47" s="2"/>
      <c r="BO47"/>
      <c r="BP47" s="7" t="str">
        <f>IF(ROW(BP47)&lt;=(VALUE($A$77)+4),_xlfn.TEXTJOIN(",", FALSE, C47:INDEX(47:47, $BO$3+2))&amp;",","")</f>
        <v>10,0,0,11,0,0,0,0,0,0,0,0,1,1,1,1,0,11,0,0,0,0,0,0,0,11,0,11,0,0,11,11,0,11,0,11,0,0,0,0,0,0,0,0,0,0,0,0,0,0,11,11,0,0,0,0,10,</v>
      </c>
    </row>
    <row r="48" spans="1:68">
      <c r="A48" s="18">
        <f t="shared" si="56"/>
        <v>1</v>
      </c>
      <c r="B48" s="18">
        <f t="shared" si="57"/>
        <v>7</v>
      </c>
      <c r="C48" s="2">
        <v>10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11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1</v>
      </c>
      <c r="P48" s="2">
        <v>1</v>
      </c>
      <c r="Q48" s="2">
        <v>1</v>
      </c>
      <c r="R48" s="2">
        <v>1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11</v>
      </c>
      <c r="Z48" s="2">
        <v>0</v>
      </c>
      <c r="AA48" s="2">
        <v>0</v>
      </c>
      <c r="AB48" s="2">
        <v>0</v>
      </c>
      <c r="AC48" s="2">
        <v>0</v>
      </c>
      <c r="AD48" s="2">
        <v>11</v>
      </c>
      <c r="AE48" s="2">
        <v>0</v>
      </c>
      <c r="AF48" s="2">
        <v>0</v>
      </c>
      <c r="AG48" s="2">
        <v>11</v>
      </c>
      <c r="AH48" s="2">
        <v>11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11</v>
      </c>
      <c r="AY48" s="2">
        <v>0</v>
      </c>
      <c r="AZ48" s="2">
        <v>0</v>
      </c>
      <c r="BA48" s="2">
        <v>11</v>
      </c>
      <c r="BB48" s="2">
        <v>11</v>
      </c>
      <c r="BC48" s="2">
        <v>0</v>
      </c>
      <c r="BD48" s="2">
        <v>0</v>
      </c>
      <c r="BE48" s="2">
        <v>0</v>
      </c>
      <c r="BF48" s="2">
        <v>0</v>
      </c>
      <c r="BG48" s="2">
        <v>10</v>
      </c>
      <c r="BH48" s="2"/>
      <c r="BI48" s="2"/>
      <c r="BJ48" s="2"/>
      <c r="BK48" s="2"/>
      <c r="BL48" s="2"/>
      <c r="BM48" s="2"/>
      <c r="BN48" s="2"/>
      <c r="BO48"/>
      <c r="BP48" s="7" t="str">
        <f>IF(ROW(BP48)&lt;=(VALUE($A$77)+4),_xlfn.TEXTJOIN(",", FALSE, C48:INDEX(48:48, $BO$3+2))&amp;",","")</f>
        <v>10,0,0,0,0,0,11,0,0,0,0,0,1,1,1,1,0,0,0,0,0,0,11,0,0,0,0,11,0,0,11,11,0,0,0,0,0,0,0,0,0,0,0,0,0,0,0,11,0,0,11,11,0,0,0,0,10,</v>
      </c>
    </row>
    <row r="49" spans="1:68">
      <c r="A49" s="18">
        <f t="shared" si="56"/>
        <v>1</v>
      </c>
      <c r="B49" s="18">
        <f t="shared" si="57"/>
        <v>7</v>
      </c>
      <c r="C49" s="2">
        <v>10</v>
      </c>
      <c r="D49" s="2">
        <v>0</v>
      </c>
      <c r="E49" s="2">
        <v>11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11</v>
      </c>
      <c r="M49" s="2">
        <v>0</v>
      </c>
      <c r="N49" s="2">
        <v>0</v>
      </c>
      <c r="O49" s="2">
        <v>1</v>
      </c>
      <c r="P49" s="2">
        <v>1</v>
      </c>
      <c r="Q49" s="2">
        <v>1</v>
      </c>
      <c r="R49" s="2">
        <v>1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11</v>
      </c>
      <c r="AE49" s="2">
        <v>0</v>
      </c>
      <c r="AF49" s="2">
        <v>0</v>
      </c>
      <c r="AG49" s="2">
        <v>11</v>
      </c>
      <c r="AH49" s="2">
        <v>11</v>
      </c>
      <c r="AI49" s="2">
        <v>0</v>
      </c>
      <c r="AJ49" s="2">
        <v>11</v>
      </c>
      <c r="AK49" s="2">
        <v>0</v>
      </c>
      <c r="AL49" s="2">
        <v>11</v>
      </c>
      <c r="AM49" s="2">
        <v>0</v>
      </c>
      <c r="AN49" s="2">
        <v>0</v>
      </c>
      <c r="AO49" s="2">
        <v>0</v>
      </c>
      <c r="AP49" s="2">
        <v>30</v>
      </c>
      <c r="AQ49" s="2">
        <v>0</v>
      </c>
      <c r="AR49" s="2">
        <v>0</v>
      </c>
      <c r="AS49" s="2">
        <v>30</v>
      </c>
      <c r="AT49" s="2">
        <v>0</v>
      </c>
      <c r="AU49" s="2">
        <v>0</v>
      </c>
      <c r="AV49" s="2">
        <v>0</v>
      </c>
      <c r="AW49" s="2">
        <v>0</v>
      </c>
      <c r="AX49" s="2">
        <v>11</v>
      </c>
      <c r="AY49" s="2">
        <v>0</v>
      </c>
      <c r="AZ49" s="2">
        <v>0</v>
      </c>
      <c r="BA49" s="2">
        <v>11</v>
      </c>
      <c r="BB49" s="2">
        <v>11</v>
      </c>
      <c r="BC49" s="2">
        <v>0</v>
      </c>
      <c r="BD49" s="2">
        <v>0</v>
      </c>
      <c r="BE49" s="2">
        <v>0</v>
      </c>
      <c r="BF49" s="2">
        <v>0</v>
      </c>
      <c r="BG49" s="2">
        <v>10</v>
      </c>
      <c r="BH49" s="2"/>
      <c r="BI49" s="2"/>
      <c r="BJ49" s="2"/>
      <c r="BK49" s="2"/>
      <c r="BL49" s="2"/>
      <c r="BM49" s="2"/>
      <c r="BN49" s="2"/>
      <c r="BO49"/>
      <c r="BP49" s="7" t="str">
        <f>IF(ROW(BP49)&lt;=(VALUE($A$77)+4),_xlfn.TEXTJOIN(",", FALSE, C49:INDEX(49:49, $BO$3+2))&amp;",","")</f>
        <v>10,0,11,0,0,0,0,0,0,11,0,0,1,1,1,1,0,0,0,0,0,0,0,0,0,0,0,11,0,0,11,11,0,11,0,11,0,0,0,30,0,0,30,0,0,0,0,11,0,0,11,11,0,0,0,0,10,</v>
      </c>
    </row>
    <row r="50" spans="1:68">
      <c r="A50" s="18">
        <f t="shared" si="56"/>
        <v>1</v>
      </c>
      <c r="B50" s="18">
        <f t="shared" si="57"/>
        <v>7</v>
      </c>
      <c r="C50" s="2">
        <v>10</v>
      </c>
      <c r="D50" s="2">
        <v>0</v>
      </c>
      <c r="E50" s="2">
        <v>0</v>
      </c>
      <c r="F50" s="2">
        <v>0</v>
      </c>
      <c r="G50" s="2">
        <v>0</v>
      </c>
      <c r="H50" s="2">
        <v>11</v>
      </c>
      <c r="I50" s="2">
        <v>0</v>
      </c>
      <c r="J50" s="2">
        <v>0</v>
      </c>
      <c r="K50" s="2">
        <v>11</v>
      </c>
      <c r="L50" s="2">
        <v>0</v>
      </c>
      <c r="M50" s="2">
        <v>0</v>
      </c>
      <c r="N50" s="2">
        <v>0</v>
      </c>
      <c r="O50" s="2">
        <v>1</v>
      </c>
      <c r="P50" s="2">
        <v>1</v>
      </c>
      <c r="Q50" s="2">
        <v>1</v>
      </c>
      <c r="R50" s="2">
        <v>1</v>
      </c>
      <c r="S50" s="2">
        <v>0</v>
      </c>
      <c r="T50" s="2">
        <v>0</v>
      </c>
      <c r="U50" s="2">
        <v>11</v>
      </c>
      <c r="V50" s="2">
        <v>0</v>
      </c>
      <c r="W50" s="2">
        <v>0</v>
      </c>
      <c r="X50" s="2">
        <v>11</v>
      </c>
      <c r="Y50" s="2">
        <v>0</v>
      </c>
      <c r="Z50" s="2">
        <v>0</v>
      </c>
      <c r="AA50" s="2">
        <v>11</v>
      </c>
      <c r="AB50" s="2">
        <v>0</v>
      </c>
      <c r="AC50" s="2">
        <v>0</v>
      </c>
      <c r="AD50" s="2">
        <v>11</v>
      </c>
      <c r="AE50" s="2">
        <v>0</v>
      </c>
      <c r="AF50" s="2">
        <v>11</v>
      </c>
      <c r="AG50" s="2">
        <v>11</v>
      </c>
      <c r="AH50" s="2">
        <v>11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  <c r="AQ50" s="2">
        <v>0</v>
      </c>
      <c r="AR50" s="2">
        <v>0</v>
      </c>
      <c r="AS50" s="2">
        <v>0</v>
      </c>
      <c r="AT50" s="2">
        <v>0</v>
      </c>
      <c r="AU50" s="2">
        <v>0</v>
      </c>
      <c r="AV50" s="2">
        <v>0</v>
      </c>
      <c r="AW50" s="2">
        <v>0</v>
      </c>
      <c r="AX50" s="2">
        <v>0</v>
      </c>
      <c r="AY50" s="2">
        <v>11</v>
      </c>
      <c r="AZ50" s="2">
        <v>0</v>
      </c>
      <c r="BA50" s="2">
        <v>11</v>
      </c>
      <c r="BB50" s="2">
        <v>11</v>
      </c>
      <c r="BC50" s="2">
        <v>0</v>
      </c>
      <c r="BD50" s="2">
        <v>0</v>
      </c>
      <c r="BE50" s="2">
        <v>0</v>
      </c>
      <c r="BF50" s="2">
        <v>0</v>
      </c>
      <c r="BG50" s="2">
        <v>10</v>
      </c>
      <c r="BH50" s="2"/>
      <c r="BI50" s="2"/>
      <c r="BJ50" s="2"/>
      <c r="BK50" s="2"/>
      <c r="BL50" s="2"/>
      <c r="BM50" s="2"/>
      <c r="BN50" s="2"/>
      <c r="BO50"/>
      <c r="BP50" s="7" t="str">
        <f>IF(ROW(BP50)&lt;=(VALUE($A$77)+4),_xlfn.TEXTJOIN(",", FALSE, C50:INDEX(50:50, $BO$3+2))&amp;",","")</f>
        <v>10,0,0,0,0,11,0,0,11,0,0,0,1,1,1,1,0,0,11,0,0,11,0,0,11,0,0,11,0,11,11,11,0,0,0,0,0,0,0,0,0,0,0,0,0,0,0,0,11,0,11,11,0,0,0,0,10,</v>
      </c>
    </row>
    <row r="51" spans="1:68">
      <c r="A51" s="18">
        <f t="shared" si="56"/>
        <v>1</v>
      </c>
      <c r="B51" s="18">
        <f t="shared" si="57"/>
        <v>7</v>
      </c>
      <c r="C51" s="2">
        <v>10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1</v>
      </c>
      <c r="P51" s="2">
        <v>1</v>
      </c>
      <c r="Q51" s="2">
        <v>1</v>
      </c>
      <c r="R51" s="2">
        <v>1</v>
      </c>
      <c r="S51" s="2">
        <v>0</v>
      </c>
      <c r="T51" s="2">
        <v>0</v>
      </c>
      <c r="U51" s="2">
        <v>0</v>
      </c>
      <c r="V51" s="2">
        <v>0</v>
      </c>
      <c r="W51" s="2">
        <v>11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11</v>
      </c>
      <c r="AE51" s="2">
        <v>0</v>
      </c>
      <c r="AF51" s="2">
        <v>0</v>
      </c>
      <c r="AG51" s="2">
        <v>11</v>
      </c>
      <c r="AH51" s="2">
        <v>11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30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2">
        <v>0</v>
      </c>
      <c r="AZ51" s="2">
        <v>0</v>
      </c>
      <c r="BA51" s="2">
        <v>11</v>
      </c>
      <c r="BB51" s="2">
        <v>11</v>
      </c>
      <c r="BC51" s="2">
        <v>0</v>
      </c>
      <c r="BD51" s="2">
        <v>0</v>
      </c>
      <c r="BE51" s="2">
        <v>0</v>
      </c>
      <c r="BF51" s="2">
        <v>0</v>
      </c>
      <c r="BG51" s="2">
        <v>10</v>
      </c>
      <c r="BH51" s="2"/>
      <c r="BI51" s="2"/>
      <c r="BJ51" s="2"/>
      <c r="BK51" s="2"/>
      <c r="BL51" s="2"/>
      <c r="BM51" s="2"/>
      <c r="BN51" s="2"/>
      <c r="BO51"/>
      <c r="BP51" s="7" t="str">
        <f>IF(ROW(BP51)&lt;=(VALUE($A$77)+4),_xlfn.TEXTJOIN(",", FALSE, C51:INDEX(51:51, $BO$3+2))&amp;",","")</f>
        <v>10,0,0,0,0,0,0,0,0,0,0,0,1,1,1,1,0,0,0,0,11,0,0,0,0,0,0,11,0,0,11,11,0,0,0,0,0,0,0,0,30,0,0,0,0,0,0,0,0,0,11,11,0,0,0,0,10,</v>
      </c>
    </row>
    <row r="52" spans="1:68">
      <c r="A52" s="18">
        <f t="shared" si="56"/>
        <v>1</v>
      </c>
      <c r="B52" s="18">
        <f t="shared" si="57"/>
        <v>7</v>
      </c>
      <c r="C52" s="2">
        <v>10</v>
      </c>
      <c r="D52" s="2">
        <v>0</v>
      </c>
      <c r="E52" s="2">
        <v>0</v>
      </c>
      <c r="F52" s="2">
        <v>11</v>
      </c>
      <c r="G52" s="2">
        <v>0</v>
      </c>
      <c r="H52" s="2">
        <v>0</v>
      </c>
      <c r="I52" s="2">
        <v>0</v>
      </c>
      <c r="J52" s="2">
        <v>0</v>
      </c>
      <c r="K52" s="2">
        <v>11</v>
      </c>
      <c r="L52" s="2">
        <v>0</v>
      </c>
      <c r="M52" s="2">
        <v>0</v>
      </c>
      <c r="N52" s="2">
        <v>0</v>
      </c>
      <c r="O52" s="2">
        <v>20</v>
      </c>
      <c r="P52" s="2">
        <v>1</v>
      </c>
      <c r="Q52" s="2">
        <v>1</v>
      </c>
      <c r="R52" s="2">
        <v>20</v>
      </c>
      <c r="S52" s="2">
        <v>0</v>
      </c>
      <c r="T52" s="2">
        <v>0</v>
      </c>
      <c r="U52" s="2">
        <v>11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11</v>
      </c>
      <c r="AE52" s="2">
        <v>0</v>
      </c>
      <c r="AF52" s="2">
        <v>0</v>
      </c>
      <c r="AG52" s="2">
        <v>11</v>
      </c>
      <c r="AH52" s="2">
        <v>11</v>
      </c>
      <c r="AI52" s="2">
        <v>0</v>
      </c>
      <c r="AJ52" s="2">
        <v>0</v>
      </c>
      <c r="AK52" s="2">
        <v>0</v>
      </c>
      <c r="AL52" s="2">
        <v>11</v>
      </c>
      <c r="AM52" s="2">
        <v>0</v>
      </c>
      <c r="AN52" s="2">
        <v>0</v>
      </c>
      <c r="AO52" s="2">
        <v>0</v>
      </c>
      <c r="AP52" s="2">
        <v>0</v>
      </c>
      <c r="AQ52" s="2">
        <v>0</v>
      </c>
      <c r="AR52" s="2">
        <v>0</v>
      </c>
      <c r="AS52" s="2">
        <v>0</v>
      </c>
      <c r="AT52" s="2">
        <v>0</v>
      </c>
      <c r="AU52" s="2">
        <v>0</v>
      </c>
      <c r="AV52" s="2">
        <v>0</v>
      </c>
      <c r="AW52" s="2">
        <v>0</v>
      </c>
      <c r="AX52" s="2">
        <v>11</v>
      </c>
      <c r="AY52" s="2">
        <v>0</v>
      </c>
      <c r="AZ52" s="2">
        <v>0</v>
      </c>
      <c r="BA52" s="2">
        <v>11</v>
      </c>
      <c r="BB52" s="2">
        <v>11</v>
      </c>
      <c r="BC52" s="2">
        <v>0</v>
      </c>
      <c r="BD52" s="2">
        <v>0</v>
      </c>
      <c r="BE52" s="2">
        <v>0</v>
      </c>
      <c r="BF52" s="2">
        <v>0</v>
      </c>
      <c r="BG52" s="2">
        <v>10</v>
      </c>
      <c r="BH52" s="2"/>
      <c r="BI52" s="2"/>
      <c r="BJ52" s="2"/>
      <c r="BK52" s="2"/>
      <c r="BL52" s="2"/>
      <c r="BM52" s="2"/>
      <c r="BN52" s="2"/>
      <c r="BO52"/>
      <c r="BP52" s="7" t="str">
        <f>IF(ROW(BP52)&lt;=(VALUE($A$77)+4),_xlfn.TEXTJOIN(",", FALSE, C52:INDEX(52:52, $BO$3+2))&amp;",","")</f>
        <v>10,0,0,11,0,0,0,0,11,0,0,0,20,1,1,20,0,0,11,0,0,0,0,0,0,0,0,11,0,0,11,11,0,0,0,11,0,0,0,0,0,0,0,0,0,0,0,11,0,0,11,11,0,0,0,0,10,</v>
      </c>
    </row>
    <row r="53" spans="1:68">
      <c r="A53" s="18">
        <f t="shared" si="56"/>
        <v>1</v>
      </c>
      <c r="B53" s="18">
        <f t="shared" si="57"/>
        <v>7</v>
      </c>
      <c r="C53" s="2">
        <v>10</v>
      </c>
      <c r="D53" s="2">
        <v>0</v>
      </c>
      <c r="E53" s="2">
        <v>11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1</v>
      </c>
      <c r="P53" s="2">
        <v>1</v>
      </c>
      <c r="Q53" s="2">
        <v>1</v>
      </c>
      <c r="R53" s="2">
        <v>1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11</v>
      </c>
      <c r="Y53" s="2">
        <v>0</v>
      </c>
      <c r="Z53" s="2">
        <v>11</v>
      </c>
      <c r="AA53" s="2">
        <v>0</v>
      </c>
      <c r="AB53" s="2">
        <v>0</v>
      </c>
      <c r="AC53" s="2">
        <v>0</v>
      </c>
      <c r="AD53" s="2">
        <v>11</v>
      </c>
      <c r="AE53" s="2">
        <v>0</v>
      </c>
      <c r="AF53" s="2">
        <v>0</v>
      </c>
      <c r="AG53" s="2">
        <v>11</v>
      </c>
      <c r="AH53" s="2">
        <v>11</v>
      </c>
      <c r="AI53" s="2">
        <v>0</v>
      </c>
      <c r="AJ53" s="2">
        <v>11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0</v>
      </c>
      <c r="AR53" s="2">
        <v>0</v>
      </c>
      <c r="AS53" s="2">
        <v>0</v>
      </c>
      <c r="AT53" s="2">
        <v>0</v>
      </c>
      <c r="AU53" s="2">
        <v>0</v>
      </c>
      <c r="AV53" s="2">
        <v>0</v>
      </c>
      <c r="AW53" s="2">
        <v>0</v>
      </c>
      <c r="AX53" s="2">
        <v>0</v>
      </c>
      <c r="AY53" s="2">
        <v>0</v>
      </c>
      <c r="AZ53" s="2">
        <v>0</v>
      </c>
      <c r="BA53" s="2">
        <v>11</v>
      </c>
      <c r="BB53" s="2">
        <v>11</v>
      </c>
      <c r="BC53" s="2">
        <v>0</v>
      </c>
      <c r="BD53" s="2">
        <v>0</v>
      </c>
      <c r="BE53" s="2">
        <v>0</v>
      </c>
      <c r="BF53" s="2">
        <v>0</v>
      </c>
      <c r="BG53" s="2">
        <v>10</v>
      </c>
      <c r="BH53" s="2"/>
      <c r="BI53" s="2"/>
      <c r="BJ53" s="2"/>
      <c r="BK53" s="2"/>
      <c r="BL53" s="2"/>
      <c r="BM53" s="2"/>
      <c r="BN53" s="2"/>
      <c r="BO53"/>
      <c r="BP53" s="7" t="str">
        <f>IF(ROW(BP53)&lt;=(VALUE($A$77)+4),_xlfn.TEXTJOIN(",", FALSE, C53:INDEX(53:53, $BO$3+2))&amp;",","")</f>
        <v>10,0,11,0,0,0,0,0,0,0,0,0,1,1,1,1,0,0,0,0,0,11,0,11,0,0,0,11,0,0,11,11,0,11,0,0,0,0,0,0,0,0,0,0,0,0,0,0,0,0,11,11,0,0,0,0,10,</v>
      </c>
    </row>
    <row r="54" spans="1:68">
      <c r="A54" s="18">
        <f t="shared" si="56"/>
        <v>1</v>
      </c>
      <c r="B54" s="18">
        <f t="shared" si="57"/>
        <v>7</v>
      </c>
      <c r="C54" s="2">
        <v>10</v>
      </c>
      <c r="D54" s="2">
        <v>0</v>
      </c>
      <c r="E54" s="2">
        <v>0</v>
      </c>
      <c r="F54" s="2">
        <v>0</v>
      </c>
      <c r="G54" s="2">
        <v>0</v>
      </c>
      <c r="H54" s="2">
        <v>11</v>
      </c>
      <c r="I54" s="2">
        <v>0</v>
      </c>
      <c r="J54" s="2">
        <v>0</v>
      </c>
      <c r="K54" s="2">
        <v>0</v>
      </c>
      <c r="L54" s="2">
        <v>11</v>
      </c>
      <c r="M54" s="2">
        <v>0</v>
      </c>
      <c r="N54" s="2">
        <v>0</v>
      </c>
      <c r="O54" s="2">
        <v>21</v>
      </c>
      <c r="P54" s="2">
        <v>1</v>
      </c>
      <c r="Q54" s="2">
        <v>1</v>
      </c>
      <c r="R54" s="2">
        <v>21</v>
      </c>
      <c r="S54" s="2">
        <v>0</v>
      </c>
      <c r="T54" s="2">
        <v>11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11</v>
      </c>
      <c r="AE54" s="2">
        <v>0</v>
      </c>
      <c r="AF54" s="2">
        <v>11</v>
      </c>
      <c r="AG54" s="2">
        <v>11</v>
      </c>
      <c r="AH54" s="2">
        <v>11</v>
      </c>
      <c r="AI54" s="2">
        <v>0</v>
      </c>
      <c r="AJ54" s="2">
        <v>11</v>
      </c>
      <c r="AK54" s="2">
        <v>0</v>
      </c>
      <c r="AL54" s="2">
        <v>0</v>
      </c>
      <c r="AM54" s="2">
        <v>0</v>
      </c>
      <c r="AN54" s="2">
        <v>0</v>
      </c>
      <c r="AO54" s="2">
        <v>0</v>
      </c>
      <c r="AP54" s="2">
        <v>0</v>
      </c>
      <c r="AQ54" s="2">
        <v>0</v>
      </c>
      <c r="AR54" s="2">
        <v>0</v>
      </c>
      <c r="AS54" s="2">
        <v>0</v>
      </c>
      <c r="AT54" s="2">
        <v>0</v>
      </c>
      <c r="AU54" s="2">
        <v>0</v>
      </c>
      <c r="AV54" s="2">
        <v>0</v>
      </c>
      <c r="AW54" s="2">
        <v>0</v>
      </c>
      <c r="AX54" s="2">
        <v>0</v>
      </c>
      <c r="AY54" s="2">
        <v>11</v>
      </c>
      <c r="AZ54" s="2">
        <v>0</v>
      </c>
      <c r="BA54" s="2">
        <v>11</v>
      </c>
      <c r="BB54" s="2">
        <v>11</v>
      </c>
      <c r="BC54" s="2">
        <v>0</v>
      </c>
      <c r="BD54" s="2">
        <v>0</v>
      </c>
      <c r="BE54" s="2">
        <v>0</v>
      </c>
      <c r="BF54" s="2">
        <v>0</v>
      </c>
      <c r="BG54" s="2">
        <v>10</v>
      </c>
      <c r="BH54" s="2"/>
      <c r="BI54" s="2"/>
      <c r="BJ54" s="2"/>
      <c r="BK54" s="2"/>
      <c r="BL54" s="2"/>
      <c r="BM54" s="2"/>
      <c r="BN54" s="2"/>
      <c r="BO54"/>
      <c r="BP54" s="7" t="str">
        <f>IF(ROW(BP54)&lt;=(VALUE($A$77)+4),_xlfn.TEXTJOIN(",", FALSE, C54:INDEX(54:54, $BO$3+2))&amp;",","")</f>
        <v>10,0,0,0,0,11,0,0,0,11,0,0,21,1,1,21,0,11,0,0,0,0,0,0,0,0,0,11,0,11,11,11,0,11,0,0,0,0,0,0,0,0,0,0,0,0,0,0,11,0,11,11,0,0,0,0,10,</v>
      </c>
    </row>
    <row r="55" spans="1:68">
      <c r="A55" s="18">
        <f t="shared" si="56"/>
        <v>1</v>
      </c>
      <c r="B55" s="18">
        <f t="shared" si="57"/>
        <v>7</v>
      </c>
      <c r="C55" s="2">
        <v>10</v>
      </c>
      <c r="D55" s="2">
        <v>0</v>
      </c>
      <c r="E55" s="2">
        <v>11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11</v>
      </c>
      <c r="L55" s="2">
        <v>0</v>
      </c>
      <c r="M55" s="2">
        <v>0</v>
      </c>
      <c r="N55" s="2">
        <v>0</v>
      </c>
      <c r="O55" s="2">
        <v>1</v>
      </c>
      <c r="P55" s="2">
        <v>1</v>
      </c>
      <c r="Q55" s="2">
        <v>1</v>
      </c>
      <c r="R55" s="2">
        <v>1</v>
      </c>
      <c r="S55" s="2">
        <v>0</v>
      </c>
      <c r="T55" s="2">
        <v>0</v>
      </c>
      <c r="U55" s="2">
        <v>0</v>
      </c>
      <c r="V55" s="2">
        <v>0</v>
      </c>
      <c r="W55" s="2">
        <v>11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11</v>
      </c>
      <c r="AE55" s="2">
        <v>0</v>
      </c>
      <c r="AF55" s="2">
        <v>0</v>
      </c>
      <c r="AG55" s="2">
        <v>11</v>
      </c>
      <c r="AH55" s="2">
        <v>11</v>
      </c>
      <c r="AI55" s="2">
        <v>0</v>
      </c>
      <c r="AJ55" s="2">
        <v>0</v>
      </c>
      <c r="AK55" s="2">
        <v>0</v>
      </c>
      <c r="AL55" s="2">
        <v>11</v>
      </c>
      <c r="AM55" s="2">
        <v>0</v>
      </c>
      <c r="AN55" s="2">
        <v>11</v>
      </c>
      <c r="AO55" s="2">
        <v>0</v>
      </c>
      <c r="AP55" s="2">
        <v>0</v>
      </c>
      <c r="AQ55" s="2">
        <v>0</v>
      </c>
      <c r="AR55" s="2">
        <v>0</v>
      </c>
      <c r="AS55" s="2">
        <v>0</v>
      </c>
      <c r="AT55" s="2">
        <v>11</v>
      </c>
      <c r="AU55" s="2">
        <v>0</v>
      </c>
      <c r="AV55" s="2">
        <v>0</v>
      </c>
      <c r="AW55" s="2">
        <v>0</v>
      </c>
      <c r="AX55" s="2">
        <v>11</v>
      </c>
      <c r="AY55" s="2">
        <v>0</v>
      </c>
      <c r="AZ55" s="2">
        <v>0</v>
      </c>
      <c r="BA55" s="2">
        <v>11</v>
      </c>
      <c r="BB55" s="2">
        <v>11</v>
      </c>
      <c r="BC55" s="2">
        <v>0</v>
      </c>
      <c r="BD55" s="2">
        <v>0</v>
      </c>
      <c r="BE55" s="2">
        <v>0</v>
      </c>
      <c r="BF55" s="2">
        <v>0</v>
      </c>
      <c r="BG55" s="2">
        <v>10</v>
      </c>
      <c r="BH55" s="2"/>
      <c r="BI55" s="2"/>
      <c r="BJ55" s="2"/>
      <c r="BK55" s="2"/>
      <c r="BL55" s="2"/>
      <c r="BM55" s="2"/>
      <c r="BN55" s="2"/>
      <c r="BO55"/>
      <c r="BP55" s="7" t="str">
        <f>IF(ROW(BP55)&lt;=(VALUE($A$77)+4),_xlfn.TEXTJOIN(",", FALSE, C55:INDEX(55:55, $BO$3+2))&amp;",","")</f>
        <v>10,0,11,0,0,0,0,0,11,0,0,0,1,1,1,1,0,0,0,0,11,0,0,0,0,0,0,11,0,0,11,11,0,0,0,11,0,11,0,0,0,0,0,11,0,0,0,11,0,0,11,11,0,0,0,0,10,</v>
      </c>
    </row>
    <row r="56" spans="1:68">
      <c r="A56" s="18">
        <f t="shared" si="56"/>
        <v>1</v>
      </c>
      <c r="B56" s="18">
        <f t="shared" si="57"/>
        <v>7</v>
      </c>
      <c r="C56" s="2">
        <v>10</v>
      </c>
      <c r="D56" s="2">
        <v>0</v>
      </c>
      <c r="E56" s="2">
        <v>0</v>
      </c>
      <c r="F56" s="2">
        <v>0</v>
      </c>
      <c r="G56" s="2">
        <v>11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22</v>
      </c>
      <c r="P56" s="2">
        <v>1</v>
      </c>
      <c r="Q56" s="2">
        <v>1</v>
      </c>
      <c r="R56" s="2">
        <v>20</v>
      </c>
      <c r="S56" s="2">
        <v>0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 s="2">
        <v>11</v>
      </c>
      <c r="AA56" s="2">
        <v>0</v>
      </c>
      <c r="AB56" s="2">
        <v>0</v>
      </c>
      <c r="AC56" s="2">
        <v>0</v>
      </c>
      <c r="AD56" s="2">
        <v>11</v>
      </c>
      <c r="AE56" s="2">
        <v>0</v>
      </c>
      <c r="AF56" s="2">
        <v>11</v>
      </c>
      <c r="AG56" s="2">
        <v>11</v>
      </c>
      <c r="AH56" s="2">
        <v>11</v>
      </c>
      <c r="AI56" s="2">
        <v>0</v>
      </c>
      <c r="AJ56" s="2">
        <v>11</v>
      </c>
      <c r="AK56" s="2">
        <v>0</v>
      </c>
      <c r="AL56" s="2">
        <v>0</v>
      </c>
      <c r="AM56" s="2">
        <v>0</v>
      </c>
      <c r="AN56" s="2">
        <v>11</v>
      </c>
      <c r="AO56" s="2">
        <v>0</v>
      </c>
      <c r="AP56" s="2">
        <v>11</v>
      </c>
      <c r="AQ56" s="2">
        <v>0</v>
      </c>
      <c r="AR56" s="2">
        <v>0</v>
      </c>
      <c r="AS56" s="2">
        <v>11</v>
      </c>
      <c r="AT56" s="2">
        <v>0</v>
      </c>
      <c r="AU56" s="2">
        <v>11</v>
      </c>
      <c r="AV56" s="2">
        <v>0</v>
      </c>
      <c r="AW56" s="2">
        <v>11</v>
      </c>
      <c r="AX56" s="2">
        <v>0</v>
      </c>
      <c r="AY56" s="2">
        <v>0</v>
      </c>
      <c r="AZ56" s="2">
        <v>0</v>
      </c>
      <c r="BA56" s="2">
        <v>11</v>
      </c>
      <c r="BB56" s="2">
        <v>11</v>
      </c>
      <c r="BC56" s="2">
        <v>0</v>
      </c>
      <c r="BD56" s="2">
        <v>0</v>
      </c>
      <c r="BE56" s="2">
        <v>0</v>
      </c>
      <c r="BF56" s="2">
        <v>0</v>
      </c>
      <c r="BG56" s="2">
        <v>10</v>
      </c>
      <c r="BH56" s="2"/>
      <c r="BI56" s="2"/>
      <c r="BJ56" s="2"/>
      <c r="BK56" s="2"/>
      <c r="BL56" s="2"/>
      <c r="BM56" s="2"/>
      <c r="BN56" s="2"/>
      <c r="BO56"/>
      <c r="BP56" s="7" t="str">
        <f>IF(ROW(BP56)&lt;=(VALUE($A$77)+4),_xlfn.TEXTJOIN(",", FALSE, C56:INDEX(56:56, $BO$3+2))&amp;",","")</f>
        <v>10,0,0,0,11,0,0,0,0,0,0,0,22,1,1,20,0,0,0,0,0,0,0,11,0,0,0,11,0,11,11,11,0,11,0,0,0,11,0,11,0,0,11,0,11,0,11,0,0,0,11,11,0,0,0,0,10,</v>
      </c>
    </row>
    <row r="57" spans="1:68">
      <c r="A57" s="18">
        <f t="shared" si="56"/>
        <v>1</v>
      </c>
      <c r="B57" s="18">
        <f t="shared" si="57"/>
        <v>7</v>
      </c>
      <c r="C57" s="2">
        <v>10</v>
      </c>
      <c r="D57" s="2">
        <v>0</v>
      </c>
      <c r="E57" s="2">
        <v>11</v>
      </c>
      <c r="F57" s="2">
        <v>0</v>
      </c>
      <c r="G57" s="2">
        <v>11</v>
      </c>
      <c r="H57" s="2">
        <v>0</v>
      </c>
      <c r="I57" s="2">
        <v>0</v>
      </c>
      <c r="J57" s="2">
        <v>11</v>
      </c>
      <c r="K57" s="2">
        <v>0</v>
      </c>
      <c r="L57" s="2">
        <v>0</v>
      </c>
      <c r="M57" s="2">
        <v>0</v>
      </c>
      <c r="N57" s="2">
        <v>0</v>
      </c>
      <c r="O57" s="2">
        <v>1</v>
      </c>
      <c r="P57" s="2">
        <v>1</v>
      </c>
      <c r="Q57" s="2">
        <v>1</v>
      </c>
      <c r="R57" s="2">
        <v>1</v>
      </c>
      <c r="S57" s="2">
        <v>0</v>
      </c>
      <c r="T57" s="2">
        <v>11</v>
      </c>
      <c r="U57" s="2">
        <v>0</v>
      </c>
      <c r="V57" s="2">
        <v>0</v>
      </c>
      <c r="W57" s="2">
        <v>11</v>
      </c>
      <c r="X57" s="2">
        <v>0</v>
      </c>
      <c r="Y57" s="2">
        <v>0</v>
      </c>
      <c r="Z57" s="2">
        <v>0</v>
      </c>
      <c r="AA57" s="2">
        <v>11</v>
      </c>
      <c r="AB57" s="2">
        <v>0</v>
      </c>
      <c r="AC57" s="2">
        <v>0</v>
      </c>
      <c r="AD57" s="2">
        <v>11</v>
      </c>
      <c r="AE57" s="2">
        <v>0</v>
      </c>
      <c r="AF57" s="2">
        <v>0</v>
      </c>
      <c r="AG57" s="2">
        <v>11</v>
      </c>
      <c r="AH57" s="2">
        <v>11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2">
        <v>0</v>
      </c>
      <c r="AQ57" s="2">
        <v>0</v>
      </c>
      <c r="AR57" s="2">
        <v>0</v>
      </c>
      <c r="AS57" s="2">
        <v>0</v>
      </c>
      <c r="AT57" s="2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  <c r="BA57" s="2">
        <v>11</v>
      </c>
      <c r="BB57" s="2">
        <v>11</v>
      </c>
      <c r="BC57" s="2">
        <v>0</v>
      </c>
      <c r="BD57" s="2">
        <v>0</v>
      </c>
      <c r="BE57" s="2">
        <v>0</v>
      </c>
      <c r="BF57" s="2">
        <v>0</v>
      </c>
      <c r="BG57" s="2">
        <v>10</v>
      </c>
      <c r="BH57" s="2"/>
      <c r="BI57" s="2"/>
      <c r="BJ57" s="2"/>
      <c r="BK57" s="2"/>
      <c r="BL57" s="2"/>
      <c r="BM57" s="2"/>
      <c r="BN57" s="2"/>
      <c r="BO57"/>
      <c r="BP57" s="7" t="str">
        <f>IF(ROW(BP57)&lt;=(VALUE($A$77)+4),_xlfn.TEXTJOIN(",", FALSE, C57:INDEX(57:57, $BO$3+2))&amp;",","")</f>
        <v>10,0,11,0,11,0,0,11,0,0,0,0,1,1,1,1,0,11,0,0,11,0,0,0,11,0,0,11,0,0,11,11,0,0,0,0,0,0,0,0,0,0,0,0,0,0,0,0,0,0,11,11,0,0,0,0,10,</v>
      </c>
    </row>
    <row r="58" spans="1:68">
      <c r="A58" s="18">
        <f t="shared" si="56"/>
        <v>1</v>
      </c>
      <c r="B58" s="18">
        <f t="shared" si="57"/>
        <v>7</v>
      </c>
      <c r="C58" s="2">
        <v>10</v>
      </c>
      <c r="D58" s="2">
        <v>0</v>
      </c>
      <c r="E58" s="2">
        <v>0</v>
      </c>
      <c r="F58" s="2">
        <v>11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11</v>
      </c>
      <c r="M58" s="2">
        <v>0</v>
      </c>
      <c r="N58" s="2">
        <v>0</v>
      </c>
      <c r="O58" s="2">
        <v>1</v>
      </c>
      <c r="P58" s="2">
        <v>1</v>
      </c>
      <c r="Q58" s="2">
        <v>1</v>
      </c>
      <c r="R58" s="2">
        <v>1</v>
      </c>
      <c r="S58" s="2">
        <v>0</v>
      </c>
      <c r="T58" s="2">
        <v>0</v>
      </c>
      <c r="U58" s="2">
        <v>11</v>
      </c>
      <c r="V58" s="2">
        <v>0</v>
      </c>
      <c r="W58" s="2">
        <v>0</v>
      </c>
      <c r="X58" s="2">
        <v>0</v>
      </c>
      <c r="Y58" s="2">
        <v>11</v>
      </c>
      <c r="Z58" s="2">
        <v>0</v>
      </c>
      <c r="AA58" s="2">
        <v>0</v>
      </c>
      <c r="AB58" s="2">
        <v>0</v>
      </c>
      <c r="AC58" s="2">
        <v>0</v>
      </c>
      <c r="AD58" s="2">
        <v>11</v>
      </c>
      <c r="AE58" s="2">
        <v>0</v>
      </c>
      <c r="AF58" s="2">
        <v>0</v>
      </c>
      <c r="AG58" s="2">
        <v>0</v>
      </c>
      <c r="AH58" s="2">
        <v>11</v>
      </c>
      <c r="AI58" s="2">
        <v>11</v>
      </c>
      <c r="AJ58" s="2">
        <v>11</v>
      </c>
      <c r="AK58" s="2">
        <v>11</v>
      </c>
      <c r="AL58" s="2">
        <v>11</v>
      </c>
      <c r="AM58" s="2">
        <v>11</v>
      </c>
      <c r="AN58" s="2">
        <v>11</v>
      </c>
      <c r="AO58" s="2">
        <v>11</v>
      </c>
      <c r="AP58" s="2">
        <v>11</v>
      </c>
      <c r="AQ58" s="2">
        <v>11</v>
      </c>
      <c r="AR58" s="2">
        <v>11</v>
      </c>
      <c r="AS58" s="2">
        <v>11</v>
      </c>
      <c r="AT58" s="2">
        <v>11</v>
      </c>
      <c r="AU58" s="2">
        <v>11</v>
      </c>
      <c r="AV58" s="2">
        <v>11</v>
      </c>
      <c r="AW58" s="2">
        <v>11</v>
      </c>
      <c r="AX58" s="2">
        <v>11</v>
      </c>
      <c r="AY58" s="2">
        <v>11</v>
      </c>
      <c r="AZ58" s="2">
        <v>11</v>
      </c>
      <c r="BA58" s="2">
        <v>11</v>
      </c>
      <c r="BB58" s="2">
        <v>11</v>
      </c>
      <c r="BC58" s="2">
        <v>0</v>
      </c>
      <c r="BD58" s="2">
        <v>0</v>
      </c>
      <c r="BE58" s="2">
        <v>0</v>
      </c>
      <c r="BF58" s="2">
        <v>0</v>
      </c>
      <c r="BG58" s="2">
        <v>10</v>
      </c>
      <c r="BH58" s="2"/>
      <c r="BI58" s="2"/>
      <c r="BJ58" s="2"/>
      <c r="BK58" s="2"/>
      <c r="BL58" s="2"/>
      <c r="BM58" s="2"/>
      <c r="BN58" s="2"/>
      <c r="BO58"/>
      <c r="BP58" s="7" t="str">
        <f>IF(ROW(BP58)&lt;=(VALUE($A$77)+4),_xlfn.TEXTJOIN(",", FALSE, C58:INDEX(58:58, $BO$3+2))&amp;",","")</f>
        <v>10,0,0,11,0,0,0,0,0,11,0,0,1,1,1,1,0,0,11,0,0,0,11,0,0,0,0,11,0,0,0,11,11,11,11,11,11,11,11,11,11,11,11,11,11,11,11,11,11,11,11,11,0,0,0,0,10,</v>
      </c>
    </row>
    <row r="59" spans="1:68">
      <c r="A59" s="18">
        <f t="shared" si="56"/>
        <v>1</v>
      </c>
      <c r="B59" s="18">
        <f t="shared" si="57"/>
        <v>7</v>
      </c>
      <c r="C59" s="2">
        <v>10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1</v>
      </c>
      <c r="P59" s="2">
        <v>1</v>
      </c>
      <c r="Q59" s="2">
        <v>1</v>
      </c>
      <c r="R59" s="2">
        <v>1</v>
      </c>
      <c r="S59" s="2">
        <v>0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2">
        <v>0</v>
      </c>
      <c r="AC59" s="2">
        <v>0</v>
      </c>
      <c r="AD59" s="2">
        <v>11</v>
      </c>
      <c r="AE59" s="2">
        <v>0</v>
      </c>
      <c r="AF59" s="2">
        <v>0</v>
      </c>
      <c r="AG59" s="2">
        <v>0</v>
      </c>
      <c r="AH59" s="2">
        <v>0</v>
      </c>
      <c r="AI59" s="2">
        <v>11</v>
      </c>
      <c r="AJ59" s="2">
        <v>11</v>
      </c>
      <c r="AK59" s="2">
        <v>11</v>
      </c>
      <c r="AL59" s="2">
        <v>11</v>
      </c>
      <c r="AM59" s="2">
        <v>11</v>
      </c>
      <c r="AN59" s="2">
        <v>11</v>
      </c>
      <c r="AO59" s="2">
        <v>11</v>
      </c>
      <c r="AP59" s="2">
        <v>11</v>
      </c>
      <c r="AQ59" s="2">
        <v>11</v>
      </c>
      <c r="AR59" s="2">
        <v>11</v>
      </c>
      <c r="AS59" s="2">
        <v>11</v>
      </c>
      <c r="AT59" s="2">
        <v>11</v>
      </c>
      <c r="AU59" s="2">
        <v>11</v>
      </c>
      <c r="AV59" s="2">
        <v>11</v>
      </c>
      <c r="AW59" s="2">
        <v>11</v>
      </c>
      <c r="AX59" s="2">
        <v>11</v>
      </c>
      <c r="AY59" s="2">
        <v>11</v>
      </c>
      <c r="AZ59" s="2">
        <v>11</v>
      </c>
      <c r="BA59" s="2">
        <v>11</v>
      </c>
      <c r="BB59" s="2">
        <v>11</v>
      </c>
      <c r="BC59" s="2">
        <v>0</v>
      </c>
      <c r="BD59" s="2">
        <v>0</v>
      </c>
      <c r="BE59" s="2">
        <v>0</v>
      </c>
      <c r="BF59" s="2">
        <v>0</v>
      </c>
      <c r="BG59" s="2">
        <v>10</v>
      </c>
      <c r="BH59" s="2"/>
      <c r="BI59" s="2"/>
      <c r="BJ59" s="2"/>
      <c r="BK59" s="2"/>
      <c r="BL59" s="2"/>
      <c r="BM59" s="2"/>
      <c r="BN59" s="2"/>
      <c r="BO59"/>
      <c r="BP59" s="7" t="str">
        <f>IF(ROW(BP59)&lt;=(VALUE($A$77)+4),_xlfn.TEXTJOIN(",", FALSE, C59:INDEX(59:59, $BO$3+2))&amp;",","")</f>
        <v>10,0,0,0,0,0,0,0,0,0,0,0,1,1,1,1,0,0,0,0,0,0,0,0,0,0,0,11,0,0,0,0,11,11,11,11,11,11,11,11,11,11,11,11,11,11,11,11,11,11,11,11,0,0,0,0,10,</v>
      </c>
    </row>
    <row r="60" spans="1:68">
      <c r="A60" s="18">
        <f t="shared" si="56"/>
        <v>1</v>
      </c>
      <c r="B60" s="18">
        <f t="shared" si="57"/>
        <v>7</v>
      </c>
      <c r="C60" s="2">
        <v>10</v>
      </c>
      <c r="D60" s="2">
        <v>10</v>
      </c>
      <c r="E60" s="2">
        <v>10</v>
      </c>
      <c r="F60" s="2">
        <v>10</v>
      </c>
      <c r="G60" s="2">
        <v>10</v>
      </c>
      <c r="H60" s="2">
        <v>10</v>
      </c>
      <c r="I60" s="2">
        <v>10</v>
      </c>
      <c r="J60" s="2">
        <v>10</v>
      </c>
      <c r="K60" s="2">
        <v>10</v>
      </c>
      <c r="L60" s="2">
        <v>10</v>
      </c>
      <c r="M60" s="2">
        <v>10</v>
      </c>
      <c r="N60" s="2">
        <v>10</v>
      </c>
      <c r="O60" s="2">
        <v>10</v>
      </c>
      <c r="P60" s="2">
        <v>10</v>
      </c>
      <c r="Q60" s="2">
        <v>10</v>
      </c>
      <c r="R60" s="2">
        <v>10</v>
      </c>
      <c r="S60" s="2">
        <v>10</v>
      </c>
      <c r="T60" s="2">
        <v>10</v>
      </c>
      <c r="U60" s="2">
        <v>10</v>
      </c>
      <c r="V60" s="2">
        <v>10</v>
      </c>
      <c r="W60" s="2">
        <v>10</v>
      </c>
      <c r="X60" s="2">
        <v>10</v>
      </c>
      <c r="Y60" s="2">
        <v>10</v>
      </c>
      <c r="Z60" s="2">
        <v>10</v>
      </c>
      <c r="AA60" s="2">
        <v>10</v>
      </c>
      <c r="AB60" s="2">
        <v>10</v>
      </c>
      <c r="AC60" s="2">
        <v>10</v>
      </c>
      <c r="AD60" s="2">
        <v>10</v>
      </c>
      <c r="AE60" s="2">
        <v>10</v>
      </c>
      <c r="AF60" s="2">
        <v>10</v>
      </c>
      <c r="AG60" s="2">
        <v>10</v>
      </c>
      <c r="AH60" s="2">
        <v>10</v>
      </c>
      <c r="AI60" s="2">
        <v>10</v>
      </c>
      <c r="AJ60" s="2">
        <v>10</v>
      </c>
      <c r="AK60" s="2">
        <v>10</v>
      </c>
      <c r="AL60" s="2">
        <v>10</v>
      </c>
      <c r="AM60" s="2">
        <v>10</v>
      </c>
      <c r="AN60" s="2">
        <v>10</v>
      </c>
      <c r="AO60" s="2">
        <v>10</v>
      </c>
      <c r="AP60" s="2">
        <v>10</v>
      </c>
      <c r="AQ60" s="2">
        <v>10</v>
      </c>
      <c r="AR60" s="2">
        <v>10</v>
      </c>
      <c r="AS60" s="2">
        <v>10</v>
      </c>
      <c r="AT60" s="2">
        <v>10</v>
      </c>
      <c r="AU60" s="2">
        <v>10</v>
      </c>
      <c r="AV60" s="2">
        <v>10</v>
      </c>
      <c r="AW60" s="2">
        <v>10</v>
      </c>
      <c r="AX60" s="2">
        <v>10</v>
      </c>
      <c r="AY60" s="2">
        <v>10</v>
      </c>
      <c r="AZ60" s="2">
        <v>10</v>
      </c>
      <c r="BA60" s="2">
        <v>10</v>
      </c>
      <c r="BB60" s="2">
        <v>10</v>
      </c>
      <c r="BC60" s="2">
        <v>10</v>
      </c>
      <c r="BD60" s="2">
        <v>10</v>
      </c>
      <c r="BE60" s="2">
        <v>10</v>
      </c>
      <c r="BF60" s="2">
        <v>10</v>
      </c>
      <c r="BG60" s="2">
        <v>10</v>
      </c>
      <c r="BH60" s="2"/>
      <c r="BI60" s="2"/>
      <c r="BJ60" s="2"/>
      <c r="BK60" s="2"/>
      <c r="BL60" s="2"/>
      <c r="BM60" s="2"/>
      <c r="BN60" s="2"/>
      <c r="BO60"/>
      <c r="BP60" s="7" t="str">
        <f>IF(ROW(BP60)&lt;=(VALUE($A$77)+4),_xlfn.TEXTJOIN(",", FALSE, C60:INDEX(60:60, $BO$3+2))&amp;",","")</f>
        <v>10,10,10,10,10,10,10,10,10,10,10,10,10,10,10,10,10,10,10,10,10,10,10,10,10,10,10,10,10,10,10,10,10,10,10,10,10,10,10,10,10,10,10,10,10,10,10,10,10,10,10,10,10,10,10,10,10,</v>
      </c>
    </row>
    <row r="61" spans="1:68">
      <c r="A61" s="18">
        <f t="shared" si="56"/>
        <v>0</v>
      </c>
      <c r="B61" s="18">
        <f t="shared" si="57"/>
        <v>64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/>
      <c r="BP61" s="7" t="str">
        <f>IF(ROW(BP61)&lt;=(VALUE($A$77)+4),_xlfn.TEXTJOIN(",", FALSE, C61:INDEX(61:61, $BO$3+2))&amp;",","")</f>
        <v/>
      </c>
    </row>
    <row r="62" spans="1:68">
      <c r="A62" s="18">
        <f t="shared" si="56"/>
        <v>0</v>
      </c>
      <c r="B62" s="18">
        <f t="shared" si="57"/>
        <v>64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/>
      <c r="BP62" s="7" t="str">
        <f>IF(ROW(BP62)&lt;=(VALUE($A$77)+4),_xlfn.TEXTJOIN(",", FALSE, C62:INDEX(62:62, $BO$3+2))&amp;",","")</f>
        <v/>
      </c>
    </row>
    <row r="63" spans="1:68">
      <c r="A63" s="18">
        <f t="shared" si="56"/>
        <v>0</v>
      </c>
      <c r="B63" s="18">
        <f t="shared" si="57"/>
        <v>64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/>
      <c r="BP63" s="7" t="str">
        <f>IF(ROW(BP63)&lt;=(VALUE($A$77)+4),_xlfn.TEXTJOIN(",", FALSE, C63:INDEX(63:63, $BO$3+2))&amp;",","")</f>
        <v/>
      </c>
    </row>
    <row r="64" spans="1:68">
      <c r="A64" s="18">
        <f t="shared" si="56"/>
        <v>0</v>
      </c>
      <c r="B64" s="18">
        <f t="shared" si="57"/>
        <v>64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/>
      <c r="BP64" s="7" t="str">
        <f>IF(ROW(BP64)&lt;=(VALUE($A$77)+4),_xlfn.TEXTJOIN(",", FALSE, C64:INDEX(64:64, $BO$3+2))&amp;",","")</f>
        <v/>
      </c>
    </row>
    <row r="65" spans="1:68">
      <c r="A65" s="18">
        <f t="shared" si="56"/>
        <v>0</v>
      </c>
      <c r="B65" s="18">
        <f t="shared" si="57"/>
        <v>64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/>
      <c r="BP65" s="7" t="str">
        <f>IF(ROW(BP65)&lt;=(VALUE($A$77)+4),_xlfn.TEXTJOIN(",", FALSE, C65:INDEX(65:65, $BO$3+2))&amp;",","")</f>
        <v/>
      </c>
    </row>
    <row r="66" spans="1:68">
      <c r="A66" s="18">
        <f t="shared" si="56"/>
        <v>0</v>
      </c>
      <c r="B66" s="18">
        <f t="shared" si="57"/>
        <v>64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/>
      <c r="BP66" s="7" t="str">
        <f>IF(ROW(BP66)&lt;=(VALUE($A$77)+4),_xlfn.TEXTJOIN(",", FALSE, C66:INDEX(66:66, $BO$3+2))&amp;",","")</f>
        <v/>
      </c>
    </row>
    <row r="67" spans="1:68">
      <c r="A67" s="18">
        <f t="shared" si="56"/>
        <v>0</v>
      </c>
      <c r="B67" s="18">
        <f t="shared" si="57"/>
        <v>64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/>
      <c r="BP67" s="7" t="str">
        <f>IF(ROW(BP67)&lt;=(VALUE($A$77)+4),_xlfn.TEXTJOIN(",", FALSE, C67:INDEX(67:67, $BO$3+2))&amp;",","")</f>
        <v/>
      </c>
    </row>
    <row r="68" spans="1:68">
      <c r="A68" s="18">
        <f t="shared" si="56"/>
        <v>0</v>
      </c>
      <c r="B68" s="18">
        <f t="shared" si="57"/>
        <v>64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/>
      <c r="BP68" s="7" t="str">
        <f>IF(ROW(BP68)&lt;=(VALUE($A$77)+4),_xlfn.TEXTJOIN(",", FALSE, C68:INDEX(68:68, $BO$3+2))&amp;",","")</f>
        <v/>
      </c>
    </row>
    <row r="69" spans="1:68">
      <c r="A69" s="18">
        <f t="shared" si="56"/>
        <v>0</v>
      </c>
      <c r="B69" s="18">
        <f t="shared" si="57"/>
        <v>64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/>
      <c r="BP69" s="7" t="str">
        <f>IF(ROW(BP69)&lt;=(VALUE($A$77)+4),_xlfn.TEXTJOIN(",", FALSE, C69:INDEX(69:69, $BO$3+2))&amp;",","")</f>
        <v/>
      </c>
    </row>
    <row r="70" spans="1:68">
      <c r="A70" s="18">
        <f t="shared" si="56"/>
        <v>0</v>
      </c>
      <c r="B70" s="18">
        <f t="shared" si="57"/>
        <v>64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/>
      <c r="BP70" s="7" t="str">
        <f>IF(ROW(BP70)&lt;=(VALUE($A$77)+4),_xlfn.TEXTJOIN(",", FALSE, C70:INDEX(70:70, $BO$3+2))&amp;",","")</f>
        <v/>
      </c>
    </row>
    <row r="71" spans="1:68">
      <c r="A71" s="18">
        <f t="shared" si="56"/>
        <v>0</v>
      </c>
      <c r="B71" s="18">
        <f t="shared" si="57"/>
        <v>64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/>
      <c r="BP71" s="7" t="str">
        <f>IF(ROW(BP71)&lt;=(VALUE($A$77)+4),_xlfn.TEXTJOIN(",", FALSE, C71:INDEX(71:71, $BO$3+2))&amp;",","")</f>
        <v/>
      </c>
    </row>
    <row r="72" spans="1:68">
      <c r="A72" s="18">
        <f t="shared" si="56"/>
        <v>0</v>
      </c>
      <c r="B72" s="18">
        <f t="shared" si="57"/>
        <v>64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/>
      <c r="BP72" s="7" t="str">
        <f>IF(ROW(BP72)&lt;=(VALUE($A$77)+4),_xlfn.TEXTJOIN(",", FALSE, C72:INDEX(72:72, $BO$3+2))&amp;",","")</f>
        <v/>
      </c>
    </row>
    <row r="73" spans="1:68">
      <c r="A73" s="18">
        <f t="shared" si="56"/>
        <v>0</v>
      </c>
      <c r="B73" s="18">
        <f t="shared" si="57"/>
        <v>64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/>
      <c r="BP73" s="7" t="str">
        <f>IF(ROW(BP73)&lt;=(VALUE($A$77)+4),_xlfn.TEXTJOIN(",", FALSE, C73:INDEX(73:73, $BO$3+2))&amp;",","")</f>
        <v/>
      </c>
    </row>
    <row r="74" spans="1:68">
      <c r="A74" s="18">
        <f t="shared" si="56"/>
        <v>0</v>
      </c>
      <c r="B74" s="18">
        <f t="shared" si="57"/>
        <v>64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/>
      <c r="BP74" s="7" t="str">
        <f>IF(ROW(BP74)&lt;=(VALUE($A$77)+4),_xlfn.TEXTJOIN(",", FALSE, C74:INDEX(74:74, $BO$3+2))&amp;",","")</f>
        <v/>
      </c>
    </row>
    <row r="75" spans="1:68">
      <c r="A75" s="18">
        <f t="shared" si="56"/>
        <v>0</v>
      </c>
      <c r="B75" s="18">
        <f t="shared" si="57"/>
        <v>64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/>
      <c r="BP75" s="7" t="str">
        <f>IF(ROW(BP75)&lt;=(VALUE($A$77)+4),_xlfn.TEXTJOIN(",", FALSE, C75:INDEX(75:75, $BO$3+2))&amp;",","")</f>
        <v/>
      </c>
    </row>
    <row r="76" spans="1:68" ht="18.600000000000001" thickBot="1">
      <c r="A76" s="18">
        <f t="shared" si="56"/>
        <v>0</v>
      </c>
      <c r="B76" s="18">
        <f t="shared" si="57"/>
        <v>64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/>
      <c r="BP76" s="8" t="str">
        <f>IF(ROW(BP76)&lt;=(VALUE($A$77)+4),_xlfn.TEXTJOIN(",", FALSE, C76:INDEX(76:76, $BO$3+2))&amp;",","")</f>
        <v/>
      </c>
    </row>
    <row r="77" spans="1:68">
      <c r="A77" s="18" cm="1">
        <f t="array" ref="A77">LOOKUP(1, 1/(A5:A76=1), ROW(A5:A76)-ROW(A5)+1)</f>
        <v>56</v>
      </c>
      <c r="B77" s="18">
        <f>COUNTBLANK(C77:BN77)</f>
        <v>64</v>
      </c>
      <c r="BO77" s="5" t="s">
        <v>4</v>
      </c>
    </row>
    <row r="78" spans="1:68">
      <c r="A78" s="20"/>
      <c r="B78" s="20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4"/>
    </row>
  </sheetData>
  <phoneticPr fontId="1"/>
  <conditionalFormatting sqref="C5:BN76">
    <cfRule type="cellIs" dxfId="11" priority="1" operator="greaterThanOrEqual">
      <formula>40</formula>
    </cfRule>
    <cfRule type="cellIs" dxfId="10" priority="3" operator="greaterThanOrEqual">
      <formula>30</formula>
    </cfRule>
    <cfRule type="cellIs" dxfId="9" priority="4" operator="greaterThanOrEqual">
      <formula>20</formula>
    </cfRule>
    <cfRule type="cellIs" dxfId="8" priority="5" operator="greaterThanOrEqual">
      <formula>10</formula>
    </cfRule>
    <cfRule type="cellIs" dxfId="7" priority="7" operator="equal">
      <formula>0</formula>
    </cfRule>
    <cfRule type="cellIs" dxfId="6" priority="6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ThisWorkbook.ExportCSV">
                <anchor moveWithCells="1" sizeWithCells="1">
                  <from>
                    <xdr:col>70</xdr:col>
                    <xdr:colOff>99060</xdr:colOff>
                    <xdr:row>0</xdr:row>
                    <xdr:rowOff>68580</xdr:rowOff>
                  </from>
                  <to>
                    <xdr:col>75</xdr:col>
                    <xdr:colOff>175260</xdr:colOff>
                    <xdr:row>5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3582A5-DB4C-4F0D-8491-373BFD6F314C}">
          <x14:formula1>
            <xm:f>リスト!$C$2:$C$16</xm:f>
          </x14:formula1>
          <xm:sqref>C5:BN76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F4175-D6E3-48C1-ABE2-73C70A889950}">
  <sheetPr codeName="Sheet2"/>
  <dimension ref="A1:D16"/>
  <sheetViews>
    <sheetView workbookViewId="0">
      <selection activeCell="G4" sqref="G4"/>
    </sheetView>
  </sheetViews>
  <sheetFormatPr defaultRowHeight="18"/>
  <cols>
    <col min="1" max="2" width="4.3984375" customWidth="1"/>
    <col min="3" max="3" width="8.59765625" customWidth="1"/>
    <col min="4" max="4" width="12.296875" bestFit="1" customWidth="1"/>
  </cols>
  <sheetData>
    <row r="1" spans="1:4">
      <c r="A1" s="2" t="s">
        <v>9</v>
      </c>
      <c r="B1" s="2" t="s">
        <v>10</v>
      </c>
      <c r="C1" s="2" t="s">
        <v>11</v>
      </c>
      <c r="D1" s="2" t="s">
        <v>8</v>
      </c>
    </row>
    <row r="2" spans="1:4">
      <c r="A2" s="2">
        <v>0</v>
      </c>
      <c r="B2" s="2">
        <v>0</v>
      </c>
      <c r="C2" s="15">
        <f>VALUE(TEXT(A2,"0")&amp;TEXT(B2,"0"))</f>
        <v>0</v>
      </c>
      <c r="D2" s="2" t="s">
        <v>0</v>
      </c>
    </row>
    <row r="3" spans="1:4">
      <c r="A3" s="2">
        <v>0</v>
      </c>
      <c r="B3" s="2">
        <v>1</v>
      </c>
      <c r="C3" s="15">
        <f>VALUE(TEXT(A3,"0")&amp;TEXT(B3,"0"))</f>
        <v>1</v>
      </c>
      <c r="D3" s="2" t="s">
        <v>14</v>
      </c>
    </row>
    <row r="4" spans="1:4">
      <c r="A4" s="2">
        <v>1</v>
      </c>
      <c r="B4" s="2">
        <v>0</v>
      </c>
      <c r="C4" s="15">
        <f>VALUE(TEXT(A4,"0")&amp;TEXT(B4,"0"))</f>
        <v>10</v>
      </c>
      <c r="D4" s="11" t="s">
        <v>1</v>
      </c>
    </row>
    <row r="5" spans="1:4">
      <c r="A5" s="2">
        <v>1</v>
      </c>
      <c r="B5" s="2">
        <v>1</v>
      </c>
      <c r="C5" s="15">
        <f t="shared" ref="C5:C16" si="0">VALUE(TEXT(A5,"0")&amp;TEXT(B5,"0"))</f>
        <v>11</v>
      </c>
      <c r="D5" s="14" t="s">
        <v>2</v>
      </c>
    </row>
    <row r="6" spans="1:4">
      <c r="A6" s="2">
        <v>1</v>
      </c>
      <c r="B6" s="2">
        <v>2</v>
      </c>
      <c r="C6" s="15">
        <f t="shared" si="0"/>
        <v>12</v>
      </c>
      <c r="D6" s="13" t="s">
        <v>20</v>
      </c>
    </row>
    <row r="7" spans="1:4">
      <c r="A7" s="2">
        <v>1</v>
      </c>
      <c r="B7" s="2">
        <v>3</v>
      </c>
      <c r="C7" s="15">
        <f t="shared" si="0"/>
        <v>13</v>
      </c>
      <c r="D7" s="11" t="s">
        <v>21</v>
      </c>
    </row>
    <row r="8" spans="1:4">
      <c r="A8" s="2">
        <v>2</v>
      </c>
      <c r="B8" s="2">
        <v>0</v>
      </c>
      <c r="C8" s="15">
        <f t="shared" si="0"/>
        <v>20</v>
      </c>
      <c r="D8" s="12" t="s">
        <v>12</v>
      </c>
    </row>
    <row r="9" spans="1:4">
      <c r="A9" s="2">
        <v>2</v>
      </c>
      <c r="B9" s="2">
        <v>1</v>
      </c>
      <c r="C9" s="15">
        <f t="shared" si="0"/>
        <v>21</v>
      </c>
      <c r="D9" s="12" t="s">
        <v>13</v>
      </c>
    </row>
    <row r="10" spans="1:4">
      <c r="A10" s="2">
        <v>2</v>
      </c>
      <c r="B10" s="2">
        <v>2</v>
      </c>
      <c r="C10" s="15">
        <f t="shared" si="0"/>
        <v>22</v>
      </c>
      <c r="D10" s="12" t="s">
        <v>15</v>
      </c>
    </row>
    <row r="11" spans="1:4">
      <c r="A11" s="2">
        <v>3</v>
      </c>
      <c r="B11" s="2">
        <v>0</v>
      </c>
      <c r="C11" s="15">
        <f t="shared" si="0"/>
        <v>30</v>
      </c>
      <c r="D11" s="17" t="s">
        <v>17</v>
      </c>
    </row>
    <row r="12" spans="1:4">
      <c r="A12" s="2">
        <v>3</v>
      </c>
      <c r="B12" s="2">
        <v>1</v>
      </c>
      <c r="C12" s="15">
        <f t="shared" si="0"/>
        <v>31</v>
      </c>
      <c r="D12" s="17" t="s">
        <v>18</v>
      </c>
    </row>
    <row r="13" spans="1:4">
      <c r="A13" s="2">
        <v>3</v>
      </c>
      <c r="B13" s="2">
        <v>2</v>
      </c>
      <c r="C13" s="15">
        <f t="shared" si="0"/>
        <v>32</v>
      </c>
      <c r="D13" s="17" t="s">
        <v>19</v>
      </c>
    </row>
    <row r="14" spans="1:4">
      <c r="A14" s="2">
        <v>4</v>
      </c>
      <c r="B14" s="2">
        <v>0</v>
      </c>
      <c r="C14" s="15">
        <f t="shared" si="0"/>
        <v>40</v>
      </c>
      <c r="D14" s="16" t="s">
        <v>16</v>
      </c>
    </row>
    <row r="15" spans="1:4">
      <c r="A15" s="2">
        <v>5</v>
      </c>
      <c r="B15" s="2">
        <v>0</v>
      </c>
      <c r="C15" s="15">
        <f t="shared" si="0"/>
        <v>50</v>
      </c>
      <c r="D15" s="16" t="s">
        <v>16</v>
      </c>
    </row>
    <row r="16" spans="1:4">
      <c r="A16" s="2">
        <v>6</v>
      </c>
      <c r="B16" s="2">
        <v>0</v>
      </c>
      <c r="C16" s="15">
        <f t="shared" si="0"/>
        <v>60</v>
      </c>
      <c r="D16" s="16" t="s">
        <v>16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理菜仕名野</dc:creator>
  <cp:lastModifiedBy>OHGP51A44603 仕名野理菜</cp:lastModifiedBy>
  <dcterms:created xsi:type="dcterms:W3CDTF">2015-06-05T18:19:34Z</dcterms:created>
  <dcterms:modified xsi:type="dcterms:W3CDTF">2026-02-06T02:00:22Z</dcterms:modified>
</cp:coreProperties>
</file>